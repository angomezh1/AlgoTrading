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ndrgome\Documents\AlgoTrading\Modelo Regresión CDS\"/>
    </mc:Choice>
  </mc:AlternateContent>
  <xr:revisionPtr revIDLastSave="0" documentId="13_ncr:1_{15C21C45-2592-4138-BFE1-47C1E3E1BC57}" xr6:coauthVersionLast="45" xr6:coauthVersionMax="45" xr10:uidLastSave="{00000000-0000-0000-0000-000000000000}"/>
  <bookViews>
    <workbookView xWindow="-120" yWindow="-120" windowWidth="20730" windowHeight="11160" xr2:uid="{4D92356F-F662-4159-B9C1-895592F53308}"/>
  </bookViews>
  <sheets>
    <sheet name="DATOS" sheetId="1" r:id="rId1"/>
    <sheet name="CDS USD" sheetId="2" r:id="rId2"/>
    <sheet name="Curva OIS USD" sheetId="3" r:id="rId3"/>
    <sheet name="HISTORIA" sheetId="4" r:id="rId4"/>
  </sheets>
  <externalReferences>
    <externalReference r:id="rId5"/>
    <externalReference r:id="rId6"/>
    <externalReference r:id="rId7"/>
  </externalReferences>
  <definedNames>
    <definedName name="As_of_date">DATOS!$B$1</definedName>
    <definedName name="CFLOW1" localSheetId="1">'CDS USD'!$J$3:$J$24</definedName>
    <definedName name="CFLOW1" localSheetId="2">'Curva OIS USD'!$H$3:$H$24</definedName>
    <definedName name="CFLOW10" localSheetId="2">'Curva OIS USD'!#REF!</definedName>
    <definedName name="CFLOW11" localSheetId="2">'Curva OIS USD'!$L$3:$L$24</definedName>
    <definedName name="CFLOW12" localSheetId="2">'Curva OIS USD'!#REF!</definedName>
    <definedName name="CFLOW13" localSheetId="2">'Curva OIS USD'!#REF!</definedName>
    <definedName name="CFLOW14" localSheetId="2">'Curva OIS USD'!#REF!</definedName>
    <definedName name="CFLOW15" localSheetId="2">'Curva OIS USD'!#REF!</definedName>
    <definedName name="CFLOW16" localSheetId="2">'Curva OIS USD'!#REF!</definedName>
    <definedName name="CFLOW17" localSheetId="2">'Curva OIS USD'!#REF!</definedName>
    <definedName name="CFLOW18" localSheetId="2">'Curva OIS USD'!#REF!</definedName>
    <definedName name="CFLOW2" localSheetId="1">'CDS USD'!$K$3:$K$24</definedName>
    <definedName name="CFLOW2" localSheetId="2">'Curva OIS USD'!$I$3:$I$24</definedName>
    <definedName name="CFLOW3" localSheetId="1">'CDS USD'!$L$3:$L$24</definedName>
    <definedName name="CFLOW3" localSheetId="2">'Curva OIS USD'!#REF!</definedName>
    <definedName name="CFLOW4" localSheetId="1">'CDS USD'!$M$3:$M$24</definedName>
    <definedName name="CFLOW4" localSheetId="2">'Curva OIS USD'!#REF!</definedName>
    <definedName name="CFLOW5" localSheetId="1">'CDS USD'!#REF!</definedName>
    <definedName name="CFLOW5" localSheetId="2">'Curva OIS USD'!#REF!</definedName>
    <definedName name="CFLOW6" localSheetId="2">'Curva OIS USD'!#REF!</definedName>
    <definedName name="CFLOW7" localSheetId="2">'Curva OIS USD'!#REF!</definedName>
    <definedName name="CFLOW8" localSheetId="2">'Curva OIS USD'!$J$3:$J$24</definedName>
    <definedName name="CFLOW9" localSheetId="2">'Curva OIS USD'!$K$3:$K$24</definedName>
    <definedName name="coupon1">'[1]Treasury Bond Pricing'!$H$24</definedName>
    <definedName name="coupon1_IBR">DATOS!#REF!</definedName>
    <definedName name="coupon1_LIBOR">DATOS!#REF!</definedName>
    <definedName name="coupon1_OISUSD">DATOS!$E$2</definedName>
    <definedName name="coupon10_OISUSD">DATOS!#REF!</definedName>
    <definedName name="coupon11_OISUSD">DATOS!$E$6</definedName>
    <definedName name="coupon11_UVR">DATOS!#REF!</definedName>
    <definedName name="coupon12_OISUSD">DATOS!#REF!</definedName>
    <definedName name="coupon13_OISUSD">DATOS!#REF!</definedName>
    <definedName name="coupon13_UVR">DATOS!#REF!</definedName>
    <definedName name="coupon14_OISUSD">DATOS!#REF!</definedName>
    <definedName name="coupon15_OISUSD">DATOS!#REF!</definedName>
    <definedName name="coupon15_UVR">DATOS!#REF!</definedName>
    <definedName name="coupon16_OISUSD">DATOS!#REF!</definedName>
    <definedName name="coupon17_OISUSD">DATOS!#REF!</definedName>
    <definedName name="coupon18_OISUSD">DATOS!#REF!</definedName>
    <definedName name="coupon2">'[1]Treasury Bond Pricing'!$H$25</definedName>
    <definedName name="coupon2_LIBOR">DATOS!#REF!</definedName>
    <definedName name="coupon2_OISUSD">DATOS!#REF!</definedName>
    <definedName name="coupon3_IBR">DATOS!#REF!</definedName>
    <definedName name="coupon3_LIBOR">DATOS!#REF!</definedName>
    <definedName name="coupon3_OISUSD">DATOS!#REF!</definedName>
    <definedName name="coupon4_IBR">DATOS!#REF!</definedName>
    <definedName name="coupon4_LIBOR">DATOS!#REF!</definedName>
    <definedName name="coupon4_OISUSD">DATOS!#REF!</definedName>
    <definedName name="coupon5_IBR">DATOS!#REF!</definedName>
    <definedName name="coupon5_LIBOR">DATOS!#REF!</definedName>
    <definedName name="coupon5_OISUSD">DATOS!#REF!</definedName>
    <definedName name="coupon6_IBR">DATOS!#REF!</definedName>
    <definedName name="coupon6_LIBOR">DATOS!#REF!</definedName>
    <definedName name="coupon6_OISUSD">DATOS!$E$3</definedName>
    <definedName name="coupon7_IBR">DATOS!#REF!</definedName>
    <definedName name="coupon7_OISUSD">DATOS!#REF!</definedName>
    <definedName name="coupon8_LIBOR">DATOS!#REF!</definedName>
    <definedName name="coupon8_OISUSD">DATOS!$E$4</definedName>
    <definedName name="coupon9_OISUSD">DATOS!$E$5</definedName>
    <definedName name="coupon9_UVR">DATOS!#REF!</definedName>
    <definedName name="date" localSheetId="1">'CDS USD'!$B$3:$B$23</definedName>
    <definedName name="date" localSheetId="2">'Curva OIS USD'!$B$3:$B$24</definedName>
    <definedName name="DF" localSheetId="1">'CDS USD'!$E$3:$E$24</definedName>
    <definedName name="DF" localSheetId="2">'Curva OIS USD'!$E$3:$E$24</definedName>
    <definedName name="DI" localSheetId="1">'CDS USD'!$D$3:$D$23</definedName>
    <definedName name="Intensity1" localSheetId="1">'CDS USD'!$D$7</definedName>
    <definedName name="Intensity2" localSheetId="1">'CDS USD'!$D$11</definedName>
    <definedName name="Intensity3" localSheetId="1">'CDS USD'!$D$15</definedName>
    <definedName name="Intensity4" localSheetId="1">'CDS USD'!$D$23</definedName>
    <definedName name="Intensity5" localSheetId="1">'CDS USD'!#REF!</definedName>
    <definedName name="mat_1">DATOS!$B$2</definedName>
    <definedName name="mat_10">DATOS!#REF!</definedName>
    <definedName name="mat_11" localSheetId="2">DATOS!$B$6</definedName>
    <definedName name="mat_12">DATOS!#REF!</definedName>
    <definedName name="mat_13">DATOS!#REF!</definedName>
    <definedName name="mat_14">DATOS!#REF!</definedName>
    <definedName name="mat_15">DATOS!#REF!</definedName>
    <definedName name="mat_16">DATOS!#REF!</definedName>
    <definedName name="mat_17">DATOS!#REF!</definedName>
    <definedName name="mat_18">DATOS!#REF!</definedName>
    <definedName name="mat_2">DATOS!#REF!</definedName>
    <definedName name="mat_3">DATOS!#REF!</definedName>
    <definedName name="mat_4">DATOS!#REF!</definedName>
    <definedName name="mat_5">DATOS!#REF!</definedName>
    <definedName name="mat_6">DATOS!$B$3</definedName>
    <definedName name="mat_7">DATOS!#REF!</definedName>
    <definedName name="mat_8">DATOS!$B$4</definedName>
    <definedName name="mat_9">DATOS!$B$5</definedName>
    <definedName name="price1">DATOS!#REF!</definedName>
    <definedName name="price10">DATOS!#REF!</definedName>
    <definedName name="price2">DATOS!#REF!</definedName>
    <definedName name="price3">DATOS!#REF!</definedName>
    <definedName name="price4">DATOS!#REF!</definedName>
    <definedName name="price5">DATOS!#REF!</definedName>
    <definedName name="price6">DATOS!#REF!</definedName>
    <definedName name="price7">DATOS!#REF!</definedName>
    <definedName name="price8">DATOS!#REF!</definedName>
    <definedName name="price9">DATOS!#REF!</definedName>
    <definedName name="rate1" localSheetId="2">'Curva OIS USD'!$D$4</definedName>
    <definedName name="rate10" localSheetId="2">'Curva OIS USD'!$D$20</definedName>
    <definedName name="rate11" localSheetId="2">'Curva OIS USD'!$D$24</definedName>
    <definedName name="rate12" localSheetId="2">'Curva OIS USD'!#REF!</definedName>
    <definedName name="rate13" localSheetId="2">'Curva OIS USD'!#REF!</definedName>
    <definedName name="rate14" localSheetId="2">'Curva OIS USD'!#REF!</definedName>
    <definedName name="rate15" localSheetId="2">'Curva OIS USD'!#REF!</definedName>
    <definedName name="rate16" localSheetId="2">'Curva OIS USD'!#REF!</definedName>
    <definedName name="rate17" localSheetId="2">'Curva OIS USD'!#REF!</definedName>
    <definedName name="rate18" localSheetId="2">'Curva OIS USD'!#REF!</definedName>
    <definedName name="rate6" localSheetId="2">'Curva OIS USD'!#REF!</definedName>
    <definedName name="rate7" localSheetId="2">'Curva OIS USD'!#REF!</definedName>
    <definedName name="rate8" localSheetId="2">'Curva OIS USD'!$D$12</definedName>
    <definedName name="rate9" localSheetId="2">'Curva OIS USD'!$D$16</definedName>
    <definedName name="Recovery">[2]Tabla!$M$1</definedName>
    <definedName name="time" localSheetId="2">'Curva OIS USD'!$C$3:$C$24</definedName>
    <definedName name="time10" localSheetId="2">'Curva OIS USD'!$C$20</definedName>
    <definedName name="time11" localSheetId="2">'Curva OIS USD'!$C$24</definedName>
    <definedName name="time12" localSheetId="2">'Curva OIS USD'!#REF!</definedName>
    <definedName name="time13" localSheetId="2">'Curva OIS USD'!#REF!</definedName>
    <definedName name="time14" localSheetId="2">'Curva OIS USD'!#REF!</definedName>
    <definedName name="time15" localSheetId="2">'Curva OIS USD'!#REF!</definedName>
    <definedName name="time16" localSheetId="2">'Curva OIS USD'!#REF!</definedName>
    <definedName name="time17" localSheetId="2">'Curva OIS USD'!#REF!</definedName>
    <definedName name="time18" localSheetId="2">'Curva OIS USD'!#REF!</definedName>
    <definedName name="time6" localSheetId="2">'Curva OIS USD'!#REF!</definedName>
    <definedName name="time7" localSheetId="2">'Curva OIS USD'!#REF!</definedName>
    <definedName name="time8" localSheetId="2">'Curva OIS USD'!$C$12</definedName>
    <definedName name="time9" localSheetId="2">'Curva OIS USD'!$C$16</definedName>
    <definedName name="timeCDS" localSheetId="1">'CDS USD'!$C$3:$C$23</definedName>
    <definedName name="USDCOP">DATOS!#REF!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897" i="4" l="1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3" i="4"/>
  <c r="N634" i="4"/>
  <c r="N635" i="4"/>
  <c r="N636" i="4"/>
  <c r="N637" i="4"/>
  <c r="N638" i="4"/>
  <c r="N639" i="4"/>
  <c r="N640" i="4"/>
  <c r="N641" i="4"/>
  <c r="N642" i="4"/>
  <c r="N643" i="4"/>
  <c r="N644" i="4"/>
  <c r="N645" i="4"/>
  <c r="N646" i="4"/>
  <c r="N647" i="4"/>
  <c r="N648" i="4"/>
  <c r="N649" i="4"/>
  <c r="N650" i="4"/>
  <c r="N651" i="4"/>
  <c r="N652" i="4"/>
  <c r="N653" i="4"/>
  <c r="N654" i="4"/>
  <c r="N655" i="4"/>
  <c r="N656" i="4"/>
  <c r="N657" i="4"/>
  <c r="N658" i="4"/>
  <c r="N659" i="4"/>
  <c r="N660" i="4"/>
  <c r="N661" i="4"/>
  <c r="N662" i="4"/>
  <c r="N663" i="4"/>
  <c r="N664" i="4"/>
  <c r="N665" i="4"/>
  <c r="N666" i="4"/>
  <c r="N667" i="4"/>
  <c r="N668" i="4"/>
  <c r="N669" i="4"/>
  <c r="N670" i="4"/>
  <c r="N671" i="4"/>
  <c r="N672" i="4"/>
  <c r="N673" i="4"/>
  <c r="N674" i="4"/>
  <c r="N675" i="4"/>
  <c r="N676" i="4"/>
  <c r="N677" i="4"/>
  <c r="N678" i="4"/>
  <c r="N679" i="4"/>
  <c r="N680" i="4"/>
  <c r="N681" i="4"/>
  <c r="N682" i="4"/>
  <c r="N683" i="4"/>
  <c r="N684" i="4"/>
  <c r="N685" i="4"/>
  <c r="N686" i="4"/>
  <c r="N687" i="4"/>
  <c r="N688" i="4"/>
  <c r="N689" i="4"/>
  <c r="N690" i="4"/>
  <c r="N691" i="4"/>
  <c r="N692" i="4"/>
  <c r="N693" i="4"/>
  <c r="N694" i="4"/>
  <c r="N695" i="4"/>
  <c r="N696" i="4"/>
  <c r="N697" i="4"/>
  <c r="N698" i="4"/>
  <c r="N699" i="4"/>
  <c r="N700" i="4"/>
  <c r="N701" i="4"/>
  <c r="N702" i="4"/>
  <c r="N703" i="4"/>
  <c r="N704" i="4"/>
  <c r="N705" i="4"/>
  <c r="N706" i="4"/>
  <c r="N707" i="4"/>
  <c r="N708" i="4"/>
  <c r="N709" i="4"/>
  <c r="N710" i="4"/>
  <c r="N711" i="4"/>
  <c r="N712" i="4"/>
  <c r="N713" i="4"/>
  <c r="N714" i="4"/>
  <c r="N715" i="4"/>
  <c r="N716" i="4"/>
  <c r="N717" i="4"/>
  <c r="N718" i="4"/>
  <c r="N719" i="4"/>
  <c r="N720" i="4"/>
  <c r="N721" i="4"/>
  <c r="N722" i="4"/>
  <c r="N723" i="4"/>
  <c r="N724" i="4"/>
  <c r="N725" i="4"/>
  <c r="N726" i="4"/>
  <c r="N727" i="4"/>
  <c r="N728" i="4"/>
  <c r="N729" i="4"/>
  <c r="N730" i="4"/>
  <c r="N731" i="4"/>
  <c r="N732" i="4"/>
  <c r="N733" i="4"/>
  <c r="N734" i="4"/>
  <c r="N735" i="4"/>
  <c r="N736" i="4"/>
  <c r="N737" i="4"/>
  <c r="N738" i="4"/>
  <c r="N739" i="4"/>
  <c r="N740" i="4"/>
  <c r="N741" i="4"/>
  <c r="N742" i="4"/>
  <c r="N743" i="4"/>
  <c r="N744" i="4"/>
  <c r="N745" i="4"/>
  <c r="N746" i="4"/>
  <c r="N747" i="4"/>
  <c r="N748" i="4"/>
  <c r="N749" i="4"/>
  <c r="N750" i="4"/>
  <c r="N751" i="4"/>
  <c r="N752" i="4"/>
  <c r="N753" i="4"/>
  <c r="N754" i="4"/>
  <c r="N755" i="4"/>
  <c r="N756" i="4"/>
  <c r="N757" i="4"/>
  <c r="N758" i="4"/>
  <c r="N759" i="4"/>
  <c r="N760" i="4"/>
  <c r="N761" i="4"/>
  <c r="N762" i="4"/>
  <c r="N763" i="4"/>
  <c r="N764" i="4"/>
  <c r="N765" i="4"/>
  <c r="N766" i="4"/>
  <c r="N767" i="4"/>
  <c r="N768" i="4"/>
  <c r="N769" i="4"/>
  <c r="N770" i="4"/>
  <c r="N771" i="4"/>
  <c r="N772" i="4"/>
  <c r="N773" i="4"/>
  <c r="N774" i="4"/>
  <c r="N775" i="4"/>
  <c r="N776" i="4"/>
  <c r="N777" i="4"/>
  <c r="N778" i="4"/>
  <c r="N779" i="4"/>
  <c r="N780" i="4"/>
  <c r="N781" i="4"/>
  <c r="N782" i="4"/>
  <c r="N783" i="4"/>
  <c r="N784" i="4"/>
  <c r="N785" i="4"/>
  <c r="N786" i="4"/>
  <c r="N787" i="4"/>
  <c r="N788" i="4"/>
  <c r="N789" i="4"/>
  <c r="N790" i="4"/>
  <c r="N791" i="4"/>
  <c r="N792" i="4"/>
  <c r="N793" i="4"/>
  <c r="N794" i="4"/>
  <c r="N795" i="4"/>
  <c r="N796" i="4"/>
  <c r="N797" i="4"/>
  <c r="N798" i="4"/>
  <c r="N799" i="4"/>
  <c r="N800" i="4"/>
  <c r="N801" i="4"/>
  <c r="N802" i="4"/>
  <c r="N803" i="4"/>
  <c r="N804" i="4"/>
  <c r="N805" i="4"/>
  <c r="N806" i="4"/>
  <c r="N807" i="4"/>
  <c r="N808" i="4"/>
  <c r="N809" i="4"/>
  <c r="N810" i="4"/>
  <c r="N811" i="4"/>
  <c r="N812" i="4"/>
  <c r="N813" i="4"/>
  <c r="N814" i="4"/>
  <c r="N815" i="4"/>
  <c r="N816" i="4"/>
  <c r="N817" i="4"/>
  <c r="N818" i="4"/>
  <c r="N819" i="4"/>
  <c r="N820" i="4"/>
  <c r="N821" i="4"/>
  <c r="N822" i="4"/>
  <c r="N823" i="4"/>
  <c r="N824" i="4"/>
  <c r="N825" i="4"/>
  <c r="N826" i="4"/>
  <c r="N827" i="4"/>
  <c r="N828" i="4"/>
  <c r="N829" i="4"/>
  <c r="N830" i="4"/>
  <c r="N831" i="4"/>
  <c r="N832" i="4"/>
  <c r="N833" i="4"/>
  <c r="N834" i="4"/>
  <c r="N835" i="4"/>
  <c r="N836" i="4"/>
  <c r="N837" i="4"/>
  <c r="N838" i="4"/>
  <c r="N839" i="4"/>
  <c r="N840" i="4"/>
  <c r="N841" i="4"/>
  <c r="N842" i="4"/>
  <c r="N843" i="4"/>
  <c r="N844" i="4"/>
  <c r="N845" i="4"/>
  <c r="N846" i="4"/>
  <c r="N847" i="4"/>
  <c r="N848" i="4"/>
  <c r="N849" i="4"/>
  <c r="N850" i="4"/>
  <c r="N851" i="4"/>
  <c r="N852" i="4"/>
  <c r="N853" i="4"/>
  <c r="N854" i="4"/>
  <c r="N855" i="4"/>
  <c r="N856" i="4"/>
  <c r="N857" i="4"/>
  <c r="N858" i="4"/>
  <c r="N859" i="4"/>
  <c r="N860" i="4"/>
  <c r="N861" i="4"/>
  <c r="N862" i="4"/>
  <c r="N863" i="4"/>
  <c r="N864" i="4"/>
  <c r="N865" i="4"/>
  <c r="N866" i="4"/>
  <c r="N867" i="4"/>
  <c r="N868" i="4"/>
  <c r="N869" i="4"/>
  <c r="N870" i="4"/>
  <c r="N871" i="4"/>
  <c r="N872" i="4"/>
  <c r="N873" i="4"/>
  <c r="N874" i="4"/>
  <c r="N875" i="4"/>
  <c r="N876" i="4"/>
  <c r="N877" i="4"/>
  <c r="N878" i="4"/>
  <c r="N879" i="4"/>
  <c r="N880" i="4"/>
  <c r="N881" i="4"/>
  <c r="N882" i="4"/>
  <c r="N883" i="4"/>
  <c r="N884" i="4"/>
  <c r="N885" i="4"/>
  <c r="N886" i="4"/>
  <c r="N887" i="4"/>
  <c r="N888" i="4"/>
  <c r="N889" i="4"/>
  <c r="N890" i="4"/>
  <c r="N891" i="4"/>
  <c r="N892" i="4"/>
  <c r="N893" i="4"/>
  <c r="N894" i="4"/>
  <c r="N895" i="4"/>
  <c r="N896" i="4"/>
  <c r="N897" i="4"/>
  <c r="N2" i="4"/>
  <c r="M2" i="4"/>
  <c r="L3" i="4" l="1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2" i="4"/>
  <c r="M332" i="4"/>
  <c r="M542" i="4"/>
  <c r="M594" i="4"/>
  <c r="M618" i="4"/>
  <c r="M690" i="4"/>
  <c r="M743" i="4"/>
  <c r="M29" i="4"/>
  <c r="M396" i="4"/>
  <c r="M444" i="4"/>
  <c r="M460" i="4"/>
  <c r="M504" i="4"/>
  <c r="M512" i="4"/>
  <c r="M554" i="4"/>
  <c r="M606" i="4"/>
  <c r="M642" i="4"/>
  <c r="M666" i="4"/>
  <c r="M706" i="4"/>
  <c r="M759" i="4"/>
  <c r="M824" i="4" l="1"/>
  <c r="M852" i="4"/>
  <c r="M884" i="4"/>
  <c r="M610" i="4"/>
  <c r="M880" i="4"/>
  <c r="M848" i="4"/>
  <c r="M804" i="4"/>
  <c r="M762" i="4"/>
  <c r="M768" i="4"/>
  <c r="M876" i="4"/>
  <c r="M832" i="4"/>
  <c r="M800" i="4"/>
  <c r="M754" i="4"/>
  <c r="M674" i="4"/>
  <c r="M546" i="4"/>
  <c r="M856" i="4"/>
  <c r="M828" i="4"/>
  <c r="M796" i="4"/>
  <c r="M746" i="4"/>
  <c r="M651" i="4"/>
  <c r="M655" i="4"/>
  <c r="M659" i="4"/>
  <c r="M663" i="4"/>
  <c r="M652" i="4"/>
  <c r="M656" i="4"/>
  <c r="M660" i="4"/>
  <c r="M653" i="4"/>
  <c r="M657" i="4"/>
  <c r="M661" i="4"/>
  <c r="M341" i="4"/>
  <c r="M345" i="4"/>
  <c r="M349" i="4"/>
  <c r="M338" i="4"/>
  <c r="M342" i="4"/>
  <c r="M346" i="4"/>
  <c r="M350" i="4"/>
  <c r="M339" i="4"/>
  <c r="M343" i="4"/>
  <c r="M347" i="4"/>
  <c r="M340" i="4"/>
  <c r="M344" i="4"/>
  <c r="M142" i="4"/>
  <c r="M146" i="4"/>
  <c r="M150" i="4"/>
  <c r="M154" i="4"/>
  <c r="M143" i="4"/>
  <c r="M147" i="4"/>
  <c r="M151" i="4"/>
  <c r="M155" i="4"/>
  <c r="M144" i="4"/>
  <c r="M148" i="4"/>
  <c r="M152" i="4"/>
  <c r="M145" i="4"/>
  <c r="M149" i="4"/>
  <c r="M153" i="4"/>
  <c r="M66" i="4"/>
  <c r="M70" i="4"/>
  <c r="M74" i="4"/>
  <c r="M67" i="4"/>
  <c r="M71" i="4"/>
  <c r="M75" i="4"/>
  <c r="M64" i="4"/>
  <c r="M68" i="4"/>
  <c r="M72" i="4"/>
  <c r="M76" i="4"/>
  <c r="M65" i="4"/>
  <c r="M69" i="4"/>
  <c r="M73" i="4"/>
  <c r="M872" i="4"/>
  <c r="M864" i="4"/>
  <c r="M816" i="4"/>
  <c r="M808" i="4"/>
  <c r="M639" i="4"/>
  <c r="M643" i="4"/>
  <c r="M647" i="4"/>
  <c r="M640" i="4"/>
  <c r="M644" i="4"/>
  <c r="M648" i="4"/>
  <c r="M641" i="4"/>
  <c r="M645" i="4"/>
  <c r="M649" i="4"/>
  <c r="M405" i="4"/>
  <c r="M409" i="4"/>
  <c r="M413" i="4"/>
  <c r="M406" i="4"/>
  <c r="M410" i="4"/>
  <c r="M414" i="4"/>
  <c r="M403" i="4"/>
  <c r="M407" i="4"/>
  <c r="M411" i="4"/>
  <c r="M415" i="4"/>
  <c r="M404" i="4"/>
  <c r="M408" i="4"/>
  <c r="M234" i="4"/>
  <c r="M238" i="4"/>
  <c r="M242" i="4"/>
  <c r="M246" i="4"/>
  <c r="M235" i="4"/>
  <c r="M239" i="4"/>
  <c r="M243" i="4"/>
  <c r="M236" i="4"/>
  <c r="M240" i="4"/>
  <c r="M244" i="4"/>
  <c r="M241" i="4"/>
  <c r="M245" i="4"/>
  <c r="M237" i="4"/>
  <c r="M38" i="4"/>
  <c r="M42" i="4"/>
  <c r="M46" i="4"/>
  <c r="M50" i="4"/>
  <c r="M39" i="4"/>
  <c r="M43" i="4"/>
  <c r="M47" i="4"/>
  <c r="M40" i="4"/>
  <c r="M44" i="4"/>
  <c r="M48" i="4"/>
  <c r="M49" i="4"/>
  <c r="M41" i="4"/>
  <c r="M45" i="4"/>
  <c r="M691" i="4"/>
  <c r="M695" i="4"/>
  <c r="M699" i="4"/>
  <c r="M692" i="4"/>
  <c r="M696" i="4"/>
  <c r="M700" i="4"/>
  <c r="M693" i="4"/>
  <c r="M697" i="4"/>
  <c r="M701" i="4"/>
  <c r="M587" i="4"/>
  <c r="M591" i="4"/>
  <c r="M595" i="4"/>
  <c r="M588" i="4"/>
  <c r="M592" i="4"/>
  <c r="M596" i="4"/>
  <c r="M589" i="4"/>
  <c r="M593" i="4"/>
  <c r="M597" i="4"/>
  <c r="M429" i="4"/>
  <c r="M433" i="4"/>
  <c r="M437" i="4"/>
  <c r="M441" i="4"/>
  <c r="M430" i="4"/>
  <c r="M434" i="4"/>
  <c r="M438" i="4"/>
  <c r="M431" i="4"/>
  <c r="M435" i="4"/>
  <c r="M439" i="4"/>
  <c r="M432" i="4"/>
  <c r="M436" i="4"/>
  <c r="M440" i="4"/>
  <c r="M377" i="4"/>
  <c r="M381" i="4"/>
  <c r="M385" i="4"/>
  <c r="M389" i="4"/>
  <c r="M378" i="4"/>
  <c r="M382" i="4"/>
  <c r="M386" i="4"/>
  <c r="M379" i="4"/>
  <c r="M383" i="4"/>
  <c r="M387" i="4"/>
  <c r="M384" i="4"/>
  <c r="M388" i="4"/>
  <c r="M325" i="4"/>
  <c r="M329" i="4"/>
  <c r="M333" i="4"/>
  <c r="M337" i="4"/>
  <c r="M326" i="4"/>
  <c r="M330" i="4"/>
  <c r="M334" i="4"/>
  <c r="M327" i="4"/>
  <c r="M331" i="4"/>
  <c r="M335" i="4"/>
  <c r="M336" i="4"/>
  <c r="M328" i="4"/>
  <c r="M222" i="4"/>
  <c r="M226" i="4"/>
  <c r="M230" i="4"/>
  <c r="M223" i="4"/>
  <c r="M227" i="4"/>
  <c r="M231" i="4"/>
  <c r="M224" i="4"/>
  <c r="M228" i="4"/>
  <c r="M232" i="4"/>
  <c r="M225" i="4"/>
  <c r="M229" i="4"/>
  <c r="M233" i="4"/>
  <c r="M170" i="4"/>
  <c r="M174" i="4"/>
  <c r="M178" i="4"/>
  <c r="M171" i="4"/>
  <c r="M175" i="4"/>
  <c r="M179" i="4"/>
  <c r="M168" i="4"/>
  <c r="M172" i="4"/>
  <c r="M176" i="4"/>
  <c r="M180" i="4"/>
  <c r="M177" i="4"/>
  <c r="M169" i="4"/>
  <c r="M173" i="4"/>
  <c r="M118" i="4"/>
  <c r="M122" i="4"/>
  <c r="M126" i="4"/>
  <c r="M119" i="4"/>
  <c r="M123" i="4"/>
  <c r="M127" i="4"/>
  <c r="M116" i="4"/>
  <c r="M120" i="4"/>
  <c r="M124" i="4"/>
  <c r="M128" i="4"/>
  <c r="M117" i="4"/>
  <c r="M121" i="4"/>
  <c r="M125" i="4"/>
  <c r="M14" i="4"/>
  <c r="M18" i="4"/>
  <c r="M22" i="4"/>
  <c r="M15" i="4"/>
  <c r="M19" i="4"/>
  <c r="M23" i="4"/>
  <c r="M12" i="4"/>
  <c r="M16" i="4"/>
  <c r="M20" i="4"/>
  <c r="M24" i="4"/>
  <c r="M17" i="4"/>
  <c r="M21" i="4"/>
  <c r="M13" i="4"/>
  <c r="M883" i="4"/>
  <c r="M879" i="4"/>
  <c r="M875" i="4"/>
  <c r="M871" i="4"/>
  <c r="M867" i="4"/>
  <c r="M863" i="4"/>
  <c r="M859" i="4"/>
  <c r="M855" i="4"/>
  <c r="M851" i="4"/>
  <c r="M847" i="4"/>
  <c r="M831" i="4"/>
  <c r="M827" i="4"/>
  <c r="M823" i="4"/>
  <c r="M819" i="4"/>
  <c r="M815" i="4"/>
  <c r="M811" i="4"/>
  <c r="M807" i="4"/>
  <c r="M803" i="4"/>
  <c r="M799" i="4"/>
  <c r="M795" i="4"/>
  <c r="M767" i="4"/>
  <c r="M751" i="4"/>
  <c r="M702" i="4"/>
  <c r="M670" i="4"/>
  <c r="M654" i="4"/>
  <c r="M638" i="4"/>
  <c r="M622" i="4"/>
  <c r="M590" i="4"/>
  <c r="M558" i="4"/>
  <c r="M380" i="4"/>
  <c r="M221" i="4"/>
  <c r="M445" i="4"/>
  <c r="M449" i="4"/>
  <c r="M453" i="4"/>
  <c r="M442" i="4"/>
  <c r="M446" i="4"/>
  <c r="M450" i="4"/>
  <c r="M454" i="4"/>
  <c r="M443" i="4"/>
  <c r="M447" i="4"/>
  <c r="M451" i="4"/>
  <c r="M448" i="4"/>
  <c r="M452" i="4"/>
  <c r="M250" i="4"/>
  <c r="M254" i="4"/>
  <c r="M258" i="4"/>
  <c r="M247" i="4"/>
  <c r="M251" i="4"/>
  <c r="M255" i="4"/>
  <c r="M259" i="4"/>
  <c r="M248" i="4"/>
  <c r="M252" i="4"/>
  <c r="M256" i="4"/>
  <c r="M257" i="4"/>
  <c r="M249" i="4"/>
  <c r="M253" i="4"/>
  <c r="M868" i="4"/>
  <c r="M860" i="4"/>
  <c r="M812" i="4"/>
  <c r="M756" i="4"/>
  <c r="M760" i="4"/>
  <c r="M764" i="4"/>
  <c r="M757" i="4"/>
  <c r="M761" i="4"/>
  <c r="M765" i="4"/>
  <c r="M497" i="4"/>
  <c r="M498" i="4"/>
  <c r="M502" i="4"/>
  <c r="M506" i="4"/>
  <c r="M495" i="4"/>
  <c r="M499" i="4"/>
  <c r="M503" i="4"/>
  <c r="M507" i="4"/>
  <c r="M496" i="4"/>
  <c r="M505" i="4"/>
  <c r="M500" i="4"/>
  <c r="M501" i="4"/>
  <c r="M301" i="4"/>
  <c r="M305" i="4"/>
  <c r="M309" i="4"/>
  <c r="M302" i="4"/>
  <c r="M306" i="4"/>
  <c r="M310" i="4"/>
  <c r="M299" i="4"/>
  <c r="M303" i="4"/>
  <c r="M307" i="4"/>
  <c r="M311" i="4"/>
  <c r="M304" i="4"/>
  <c r="M308" i="4"/>
  <c r="M130" i="4"/>
  <c r="M134" i="4"/>
  <c r="M138" i="4"/>
  <c r="M131" i="4"/>
  <c r="M135" i="4"/>
  <c r="M139" i="4"/>
  <c r="M132" i="4"/>
  <c r="M136" i="4"/>
  <c r="M140" i="4"/>
  <c r="M129" i="4"/>
  <c r="M133" i="4"/>
  <c r="M137" i="4"/>
  <c r="M141" i="4"/>
  <c r="M744" i="4"/>
  <c r="M748" i="4"/>
  <c r="M752" i="4"/>
  <c r="M745" i="4"/>
  <c r="M749" i="4"/>
  <c r="M753" i="4"/>
  <c r="M535" i="4"/>
  <c r="M539" i="4"/>
  <c r="M543" i="4"/>
  <c r="M536" i="4"/>
  <c r="M540" i="4"/>
  <c r="M544" i="4"/>
  <c r="M537" i="4"/>
  <c r="M541" i="4"/>
  <c r="M545" i="4"/>
  <c r="M703" i="4"/>
  <c r="M707" i="4"/>
  <c r="M711" i="4"/>
  <c r="M715" i="4"/>
  <c r="M704" i="4"/>
  <c r="M708" i="4"/>
  <c r="M712" i="4"/>
  <c r="M705" i="4"/>
  <c r="M709" i="4"/>
  <c r="M713" i="4"/>
  <c r="M599" i="4"/>
  <c r="M603" i="4"/>
  <c r="M607" i="4"/>
  <c r="M611" i="4"/>
  <c r="M600" i="4"/>
  <c r="M604" i="4"/>
  <c r="M608" i="4"/>
  <c r="M601" i="4"/>
  <c r="M605" i="4"/>
  <c r="M609" i="4"/>
  <c r="M485" i="4"/>
  <c r="M489" i="4"/>
  <c r="M493" i="4"/>
  <c r="M482" i="4"/>
  <c r="M486" i="4"/>
  <c r="M490" i="4"/>
  <c r="M494" i="4"/>
  <c r="M483" i="4"/>
  <c r="M487" i="4"/>
  <c r="M491" i="4"/>
  <c r="M484" i="4"/>
  <c r="M488" i="4"/>
  <c r="M393" i="4"/>
  <c r="M397" i="4"/>
  <c r="M401" i="4"/>
  <c r="M390" i="4"/>
  <c r="M394" i="4"/>
  <c r="M398" i="4"/>
  <c r="M402" i="4"/>
  <c r="M391" i="4"/>
  <c r="M395" i="4"/>
  <c r="M399" i="4"/>
  <c r="M400" i="4"/>
  <c r="M392" i="4"/>
  <c r="M289" i="4"/>
  <c r="M293" i="4"/>
  <c r="M297" i="4"/>
  <c r="M286" i="4"/>
  <c r="M290" i="4"/>
  <c r="M294" i="4"/>
  <c r="M298" i="4"/>
  <c r="M287" i="4"/>
  <c r="M291" i="4"/>
  <c r="M295" i="4"/>
  <c r="M288" i="4"/>
  <c r="M292" i="4"/>
  <c r="M296" i="4"/>
  <c r="M198" i="4"/>
  <c r="M202" i="4"/>
  <c r="M206" i="4"/>
  <c r="M195" i="4"/>
  <c r="M199" i="4"/>
  <c r="M203" i="4"/>
  <c r="M207" i="4"/>
  <c r="M196" i="4"/>
  <c r="M200" i="4"/>
  <c r="M204" i="4"/>
  <c r="M197" i="4"/>
  <c r="M201" i="4"/>
  <c r="M205" i="4"/>
  <c r="M90" i="4"/>
  <c r="M94" i="4"/>
  <c r="M98" i="4"/>
  <c r="M102" i="4"/>
  <c r="M91" i="4"/>
  <c r="M95" i="4"/>
  <c r="M99" i="4"/>
  <c r="M92" i="4"/>
  <c r="M96" i="4"/>
  <c r="M100" i="4"/>
  <c r="M97" i="4"/>
  <c r="M101" i="4"/>
  <c r="M26" i="4"/>
  <c r="M30" i="4"/>
  <c r="M34" i="4"/>
  <c r="M27" i="4"/>
  <c r="M31" i="4"/>
  <c r="M35" i="4"/>
  <c r="M28" i="4"/>
  <c r="M32" i="4"/>
  <c r="M36" i="4"/>
  <c r="M33" i="4"/>
  <c r="M37" i="4"/>
  <c r="M25" i="4"/>
  <c r="M882" i="4"/>
  <c r="M878" i="4"/>
  <c r="M874" i="4"/>
  <c r="M870" i="4"/>
  <c r="M866" i="4"/>
  <c r="M862" i="4"/>
  <c r="M858" i="4"/>
  <c r="M854" i="4"/>
  <c r="M850" i="4"/>
  <c r="M830" i="4"/>
  <c r="M826" i="4"/>
  <c r="M822" i="4"/>
  <c r="M818" i="4"/>
  <c r="M814" i="4"/>
  <c r="M810" i="4"/>
  <c r="M806" i="4"/>
  <c r="M802" i="4"/>
  <c r="M798" i="4"/>
  <c r="M766" i="4"/>
  <c r="M758" i="4"/>
  <c r="M750" i="4"/>
  <c r="M742" i="4"/>
  <c r="M714" i="4"/>
  <c r="M698" i="4"/>
  <c r="M650" i="4"/>
  <c r="M602" i="4"/>
  <c r="M586" i="4"/>
  <c r="M538" i="4"/>
  <c r="M492" i="4"/>
  <c r="M300" i="4"/>
  <c r="M510" i="4"/>
  <c r="M514" i="4"/>
  <c r="M511" i="4"/>
  <c r="M515" i="4"/>
  <c r="M513" i="4"/>
  <c r="M519" i="4"/>
  <c r="M508" i="4"/>
  <c r="M516" i="4"/>
  <c r="M520" i="4"/>
  <c r="M509" i="4"/>
  <c r="M517" i="4"/>
  <c r="M820" i="4"/>
  <c r="M658" i="4"/>
  <c r="M667" i="4"/>
  <c r="M671" i="4"/>
  <c r="M675" i="4"/>
  <c r="M664" i="4"/>
  <c r="M668" i="4"/>
  <c r="M672" i="4"/>
  <c r="M676" i="4"/>
  <c r="M665" i="4"/>
  <c r="M669" i="4"/>
  <c r="M673" i="4"/>
  <c r="M547" i="4"/>
  <c r="M551" i="4"/>
  <c r="M555" i="4"/>
  <c r="M559" i="4"/>
  <c r="M548" i="4"/>
  <c r="M552" i="4"/>
  <c r="M556" i="4"/>
  <c r="M549" i="4"/>
  <c r="M553" i="4"/>
  <c r="M557" i="4"/>
  <c r="M457" i="4"/>
  <c r="M461" i="4"/>
  <c r="M465" i="4"/>
  <c r="M458" i="4"/>
  <c r="M462" i="4"/>
  <c r="M466" i="4"/>
  <c r="M455" i="4"/>
  <c r="M459" i="4"/>
  <c r="M463" i="4"/>
  <c r="M467" i="4"/>
  <c r="M464" i="4"/>
  <c r="M468" i="4"/>
  <c r="M456" i="4"/>
  <c r="M353" i="4"/>
  <c r="M357" i="4"/>
  <c r="M361" i="4"/>
  <c r="M354" i="4"/>
  <c r="M358" i="4"/>
  <c r="M362" i="4"/>
  <c r="M351" i="4"/>
  <c r="M355" i="4"/>
  <c r="M359" i="4"/>
  <c r="M363" i="4"/>
  <c r="M352" i="4"/>
  <c r="M356" i="4"/>
  <c r="M360" i="4"/>
  <c r="M273" i="4"/>
  <c r="M277" i="4"/>
  <c r="M281" i="4"/>
  <c r="M285" i="4"/>
  <c r="M274" i="4"/>
  <c r="M278" i="4"/>
  <c r="M282" i="4"/>
  <c r="M275" i="4"/>
  <c r="M279" i="4"/>
  <c r="M283" i="4"/>
  <c r="M276" i="4"/>
  <c r="M280" i="4"/>
  <c r="M182" i="4"/>
  <c r="M186" i="4"/>
  <c r="M190" i="4"/>
  <c r="M194" i="4"/>
  <c r="M183" i="4"/>
  <c r="M187" i="4"/>
  <c r="M191" i="4"/>
  <c r="M184" i="4"/>
  <c r="M188" i="4"/>
  <c r="M192" i="4"/>
  <c r="M193" i="4"/>
  <c r="M181" i="4"/>
  <c r="M185" i="4"/>
  <c r="M189" i="4"/>
  <c r="M78" i="4"/>
  <c r="M82" i="4"/>
  <c r="M86" i="4"/>
  <c r="M79" i="4"/>
  <c r="M83" i="4"/>
  <c r="M87" i="4"/>
  <c r="M80" i="4"/>
  <c r="M84" i="4"/>
  <c r="M88" i="4"/>
  <c r="M81" i="4"/>
  <c r="M85" i="4"/>
  <c r="M89" i="4"/>
  <c r="M77" i="4"/>
  <c r="M615" i="4"/>
  <c r="M619" i="4"/>
  <c r="M623" i="4"/>
  <c r="M612" i="4"/>
  <c r="M616" i="4"/>
  <c r="M620" i="4"/>
  <c r="M624" i="4"/>
  <c r="M613" i="4"/>
  <c r="M617" i="4"/>
  <c r="M621" i="4"/>
  <c r="M885" i="4"/>
  <c r="M881" i="4"/>
  <c r="M877" i="4"/>
  <c r="M873" i="4"/>
  <c r="M869" i="4"/>
  <c r="M865" i="4"/>
  <c r="M861" i="4"/>
  <c r="M857" i="4"/>
  <c r="M853" i="4"/>
  <c r="M849" i="4"/>
  <c r="M833" i="4"/>
  <c r="M829" i="4"/>
  <c r="M825" i="4"/>
  <c r="M821" i="4"/>
  <c r="M817" i="4"/>
  <c r="M813" i="4"/>
  <c r="M809" i="4"/>
  <c r="M805" i="4"/>
  <c r="M801" i="4"/>
  <c r="M797" i="4"/>
  <c r="M763" i="4"/>
  <c r="M755" i="4"/>
  <c r="M747" i="4"/>
  <c r="M710" i="4"/>
  <c r="M694" i="4"/>
  <c r="M662" i="4"/>
  <c r="M646" i="4"/>
  <c r="M614" i="4"/>
  <c r="M598" i="4"/>
  <c r="M550" i="4"/>
  <c r="M534" i="4"/>
  <c r="M518" i="4"/>
  <c r="M412" i="4"/>
  <c r="M348" i="4"/>
  <c r="M284" i="4"/>
  <c r="M93" i="4"/>
  <c r="M889" i="4" l="1"/>
  <c r="M893" i="4"/>
  <c r="M888" i="4"/>
  <c r="M886" i="4"/>
  <c r="M890" i="4"/>
  <c r="M894" i="4"/>
  <c r="M892" i="4"/>
  <c r="M887" i="4"/>
  <c r="M891" i="4"/>
  <c r="M895" i="4"/>
  <c r="M896" i="4"/>
  <c r="M365" i="4"/>
  <c r="M369" i="4"/>
  <c r="M373" i="4"/>
  <c r="M366" i="4"/>
  <c r="M370" i="4"/>
  <c r="M374" i="4"/>
  <c r="M367" i="4"/>
  <c r="M371" i="4"/>
  <c r="M375" i="4"/>
  <c r="M368" i="4"/>
  <c r="M372" i="4"/>
  <c r="M376" i="4"/>
  <c r="M364" i="4"/>
  <c r="M417" i="4"/>
  <c r="M421" i="4"/>
  <c r="M425" i="4"/>
  <c r="M418" i="4"/>
  <c r="M422" i="4"/>
  <c r="M426" i="4"/>
  <c r="M419" i="4"/>
  <c r="M423" i="4"/>
  <c r="M427" i="4"/>
  <c r="M416" i="4"/>
  <c r="M420" i="4"/>
  <c r="M424" i="4"/>
  <c r="M428" i="4"/>
  <c r="M6" i="4"/>
  <c r="M10" i="4"/>
  <c r="M3" i="4"/>
  <c r="M7" i="4"/>
  <c r="M11" i="4"/>
  <c r="M4" i="4"/>
  <c r="M8" i="4"/>
  <c r="M5" i="4"/>
  <c r="M9" i="4"/>
  <c r="M627" i="4"/>
  <c r="M631" i="4"/>
  <c r="M635" i="4"/>
  <c r="M628" i="4"/>
  <c r="M632" i="4"/>
  <c r="M636" i="4"/>
  <c r="M625" i="4"/>
  <c r="M629" i="4"/>
  <c r="M633" i="4"/>
  <c r="M637" i="4"/>
  <c r="M630" i="4"/>
  <c r="M634" i="4"/>
  <c r="M626" i="4"/>
  <c r="M523" i="4"/>
  <c r="M527" i="4"/>
  <c r="M531" i="4"/>
  <c r="M524" i="4"/>
  <c r="M528" i="4"/>
  <c r="M532" i="4"/>
  <c r="M521" i="4"/>
  <c r="M525" i="4"/>
  <c r="M529" i="4"/>
  <c r="M533" i="4"/>
  <c r="M522" i="4"/>
  <c r="M530" i="4"/>
  <c r="M526" i="4"/>
  <c r="M719" i="4"/>
  <c r="M716" i="4"/>
  <c r="M720" i="4"/>
  <c r="M724" i="4"/>
  <c r="M728" i="4"/>
  <c r="M717" i="4"/>
  <c r="M721" i="4"/>
  <c r="M725" i="4"/>
  <c r="M729" i="4"/>
  <c r="M723" i="4"/>
  <c r="M726" i="4"/>
  <c r="M722" i="4"/>
  <c r="M718" i="4"/>
  <c r="M727" i="4"/>
  <c r="M898" i="4"/>
  <c r="N898" i="4"/>
  <c r="M54" i="4"/>
  <c r="M58" i="4"/>
  <c r="M62" i="4"/>
  <c r="M51" i="4"/>
  <c r="M55" i="4"/>
  <c r="M59" i="4"/>
  <c r="M63" i="4"/>
  <c r="M52" i="4"/>
  <c r="M56" i="4"/>
  <c r="M60" i="4"/>
  <c r="M53" i="4"/>
  <c r="M57" i="4"/>
  <c r="M61" i="4"/>
  <c r="M575" i="4"/>
  <c r="M579" i="4"/>
  <c r="M583" i="4"/>
  <c r="M576" i="4"/>
  <c r="M580" i="4"/>
  <c r="M584" i="4"/>
  <c r="M573" i="4"/>
  <c r="M577" i="4"/>
  <c r="M581" i="4"/>
  <c r="M585" i="4"/>
  <c r="M582" i="4"/>
  <c r="M574" i="4"/>
  <c r="M578" i="4"/>
  <c r="M158" i="4"/>
  <c r="M162" i="4"/>
  <c r="M166" i="4"/>
  <c r="M159" i="4"/>
  <c r="M163" i="4"/>
  <c r="M167" i="4"/>
  <c r="M156" i="4"/>
  <c r="M160" i="4"/>
  <c r="M164" i="4"/>
  <c r="M161" i="4"/>
  <c r="M165" i="4"/>
  <c r="M157" i="4"/>
  <c r="M785" i="4"/>
  <c r="M789" i="4"/>
  <c r="M793" i="4"/>
  <c r="M788" i="4"/>
  <c r="M782" i="4"/>
  <c r="M786" i="4"/>
  <c r="M790" i="4"/>
  <c r="M794" i="4"/>
  <c r="M784" i="4"/>
  <c r="M783" i="4"/>
  <c r="M787" i="4"/>
  <c r="M791" i="4"/>
  <c r="M792" i="4"/>
  <c r="M679" i="4"/>
  <c r="M683" i="4"/>
  <c r="M687" i="4"/>
  <c r="M680" i="4"/>
  <c r="M684" i="4"/>
  <c r="M688" i="4"/>
  <c r="M677" i="4"/>
  <c r="M681" i="4"/>
  <c r="M685" i="4"/>
  <c r="M689" i="4"/>
  <c r="M678" i="4"/>
  <c r="M682" i="4"/>
  <c r="M686" i="4"/>
  <c r="M769" i="4"/>
  <c r="M773" i="4"/>
  <c r="M777" i="4"/>
  <c r="M781" i="4"/>
  <c r="M770" i="4"/>
  <c r="M774" i="4"/>
  <c r="M778" i="4"/>
  <c r="M776" i="4"/>
  <c r="M771" i="4"/>
  <c r="M775" i="4"/>
  <c r="M779" i="4"/>
  <c r="M772" i="4"/>
  <c r="M780" i="4"/>
  <c r="M262" i="4"/>
  <c r="M260" i="4"/>
  <c r="M265" i="4"/>
  <c r="M269" i="4"/>
  <c r="M261" i="4"/>
  <c r="M266" i="4"/>
  <c r="M270" i="4"/>
  <c r="M263" i="4"/>
  <c r="M267" i="4"/>
  <c r="M271" i="4"/>
  <c r="M272" i="4"/>
  <c r="M264" i="4"/>
  <c r="M268" i="4"/>
  <c r="M469" i="4"/>
  <c r="M473" i="4"/>
  <c r="M477" i="4"/>
  <c r="M481" i="4"/>
  <c r="M470" i="4"/>
  <c r="M474" i="4"/>
  <c r="M478" i="4"/>
  <c r="M471" i="4"/>
  <c r="M475" i="4"/>
  <c r="M479" i="4"/>
  <c r="M480" i="4"/>
  <c r="M472" i="4"/>
  <c r="M476" i="4"/>
  <c r="M563" i="4"/>
  <c r="M567" i="4"/>
  <c r="M571" i="4"/>
  <c r="M560" i="4"/>
  <c r="M564" i="4"/>
  <c r="M568" i="4"/>
  <c r="M572" i="4"/>
  <c r="M561" i="4"/>
  <c r="M565" i="4"/>
  <c r="M569" i="4"/>
  <c r="M566" i="4"/>
  <c r="M570" i="4"/>
  <c r="M562" i="4"/>
  <c r="M210" i="4"/>
  <c r="M214" i="4"/>
  <c r="M218" i="4"/>
  <c r="M211" i="4"/>
  <c r="M215" i="4"/>
  <c r="M219" i="4"/>
  <c r="M208" i="4"/>
  <c r="M212" i="4"/>
  <c r="M216" i="4"/>
  <c r="M220" i="4"/>
  <c r="M209" i="4"/>
  <c r="M213" i="4"/>
  <c r="M217" i="4"/>
  <c r="M732" i="4"/>
  <c r="M736" i="4"/>
  <c r="M740" i="4"/>
  <c r="M733" i="4"/>
  <c r="M737" i="4"/>
  <c r="M741" i="4"/>
  <c r="M731" i="4"/>
  <c r="M739" i="4"/>
  <c r="M734" i="4"/>
  <c r="M738" i="4"/>
  <c r="M735" i="4"/>
  <c r="M730" i="4"/>
  <c r="M313" i="4"/>
  <c r="M317" i="4"/>
  <c r="M321" i="4"/>
  <c r="M314" i="4"/>
  <c r="M318" i="4"/>
  <c r="M322" i="4"/>
  <c r="M315" i="4"/>
  <c r="M319" i="4"/>
  <c r="M323" i="4"/>
  <c r="M320" i="4"/>
  <c r="M324" i="4"/>
  <c r="M312" i="4"/>
  <c r="M316" i="4"/>
  <c r="M106" i="4"/>
  <c r="M110" i="4"/>
  <c r="M114" i="4"/>
  <c r="M103" i="4"/>
  <c r="M107" i="4"/>
  <c r="M111" i="4"/>
  <c r="M115" i="4"/>
  <c r="M104" i="4"/>
  <c r="M108" i="4"/>
  <c r="M112" i="4"/>
  <c r="M113" i="4"/>
  <c r="M105" i="4"/>
  <c r="M109" i="4"/>
  <c r="M837" i="4"/>
  <c r="M841" i="4"/>
  <c r="M845" i="4"/>
  <c r="M844" i="4"/>
  <c r="M834" i="4"/>
  <c r="M838" i="4"/>
  <c r="M842" i="4"/>
  <c r="M846" i="4"/>
  <c r="M836" i="4"/>
  <c r="M835" i="4"/>
  <c r="M839" i="4"/>
  <c r="M843" i="4"/>
  <c r="M840" i="4"/>
  <c r="D3" i="3" l="1"/>
  <c r="D14" i="2"/>
  <c r="D13" i="2"/>
  <c r="D12" i="2"/>
  <c r="D10" i="2"/>
  <c r="D9" i="2"/>
  <c r="D8" i="2"/>
  <c r="D6" i="2"/>
  <c r="D5" i="2"/>
  <c r="D4" i="2"/>
  <c r="G3" i="2"/>
  <c r="O3" i="2" s="1"/>
  <c r="B1" i="1"/>
  <c r="B2" i="1" l="1"/>
  <c r="C2" i="1" s="1"/>
  <c r="B3" i="3"/>
  <c r="B4" i="3" s="1"/>
  <c r="B5" i="3" s="1"/>
  <c r="B6" i="3" s="1"/>
  <c r="B7" i="3" s="1"/>
  <c r="C7" i="3" s="1"/>
  <c r="B3" i="1"/>
  <c r="C6" i="3" l="1"/>
  <c r="C5" i="3"/>
  <c r="B8" i="3"/>
  <c r="C3" i="3"/>
  <c r="B4" i="1"/>
  <c r="C3" i="1"/>
  <c r="F8" i="3" l="1"/>
  <c r="B9" i="3"/>
  <c r="B5" i="1"/>
  <c r="B6" i="1" s="1"/>
  <c r="C4" i="1"/>
  <c r="I8" i="3" l="1"/>
  <c r="J8" i="3"/>
  <c r="L8" i="3"/>
  <c r="B10" i="3"/>
  <c r="C9" i="3"/>
  <c r="C5" i="1"/>
  <c r="B11" i="3" l="1"/>
  <c r="C11" i="3" s="1"/>
  <c r="C10" i="3"/>
  <c r="C6" i="1"/>
  <c r="B3" i="2" l="1"/>
  <c r="M3" i="2" l="1"/>
  <c r="B4" i="2"/>
  <c r="C8" i="3"/>
  <c r="C4" i="3"/>
  <c r="B12" i="3"/>
  <c r="H4" i="3" l="1"/>
  <c r="E4" i="3"/>
  <c r="F12" i="3"/>
  <c r="K8" i="3"/>
  <c r="B16" i="3"/>
  <c r="C16" i="3" s="1"/>
  <c r="B5" i="2"/>
  <c r="I4" i="2"/>
  <c r="C4" i="2"/>
  <c r="C12" i="3"/>
  <c r="B13" i="3"/>
  <c r="E8" i="3"/>
  <c r="J12" i="3" l="1"/>
  <c r="G4" i="3"/>
  <c r="D5" i="3"/>
  <c r="E5" i="3" s="1"/>
  <c r="G5" i="3" s="1"/>
  <c r="D6" i="3"/>
  <c r="E6" i="3" s="1"/>
  <c r="D7" i="3"/>
  <c r="E7" i="3" s="1"/>
  <c r="D9" i="3"/>
  <c r="E9" i="3" s="1"/>
  <c r="G9" i="3" s="1"/>
  <c r="D10" i="3"/>
  <c r="E10" i="3" s="1"/>
  <c r="D11" i="3"/>
  <c r="E11" i="3" s="1"/>
  <c r="B17" i="3"/>
  <c r="C17" i="3" s="1"/>
  <c r="F16" i="3"/>
  <c r="B14" i="3"/>
  <c r="C13" i="3"/>
  <c r="G4" i="2"/>
  <c r="F4" i="2"/>
  <c r="E12" i="3"/>
  <c r="G12" i="3" s="1"/>
  <c r="K12" i="3"/>
  <c r="G8" i="3"/>
  <c r="C5" i="2"/>
  <c r="B6" i="2"/>
  <c r="I5" i="2"/>
  <c r="E16" i="3"/>
  <c r="B24" i="3"/>
  <c r="O4" i="2" l="1"/>
  <c r="H4" i="2"/>
  <c r="D13" i="3"/>
  <c r="E13" i="3" s="1"/>
  <c r="G13" i="3" s="1"/>
  <c r="G6" i="3"/>
  <c r="K16" i="3"/>
  <c r="G11" i="3"/>
  <c r="G7" i="3"/>
  <c r="G10" i="3"/>
  <c r="B18" i="3"/>
  <c r="C18" i="3" s="1"/>
  <c r="B15" i="3"/>
  <c r="C15" i="3" s="1"/>
  <c r="C14" i="3"/>
  <c r="C6" i="2"/>
  <c r="B7" i="2"/>
  <c r="I6" i="2"/>
  <c r="C24" i="3"/>
  <c r="G5" i="2"/>
  <c r="F5" i="2"/>
  <c r="D18" i="3" l="1"/>
  <c r="E24" i="3"/>
  <c r="D17" i="3"/>
  <c r="D15" i="3"/>
  <c r="E15" i="3" s="1"/>
  <c r="G16" i="3" s="1"/>
  <c r="D14" i="3"/>
  <c r="E14" i="3" s="1"/>
  <c r="H5" i="2"/>
  <c r="O5" i="2"/>
  <c r="B19" i="3"/>
  <c r="C19" i="3" s="1"/>
  <c r="D19" i="3" s="1"/>
  <c r="B8" i="2"/>
  <c r="I7" i="2"/>
  <c r="C7" i="2"/>
  <c r="G7" i="2" s="1"/>
  <c r="L12" i="3"/>
  <c r="L16" i="3"/>
  <c r="F6" i="2"/>
  <c r="G6" i="2"/>
  <c r="G14" i="3" l="1"/>
  <c r="G15" i="3"/>
  <c r="B20" i="3"/>
  <c r="C20" i="3" s="1"/>
  <c r="D20" i="3" s="1"/>
  <c r="H6" i="2"/>
  <c r="O6" i="2"/>
  <c r="F7" i="2"/>
  <c r="B9" i="2"/>
  <c r="I8" i="2"/>
  <c r="C8" i="2"/>
  <c r="B21" i="3" l="1"/>
  <c r="C21" i="3" s="1"/>
  <c r="D21" i="3" s="1"/>
  <c r="F20" i="3"/>
  <c r="F24" i="3"/>
  <c r="H7" i="2"/>
  <c r="O7" i="2"/>
  <c r="B10" i="2"/>
  <c r="I9" i="2"/>
  <c r="C9" i="2"/>
  <c r="G8" i="2"/>
  <c r="F8" i="2"/>
  <c r="L24" i="3" l="1"/>
  <c r="L20" i="3"/>
  <c r="B22" i="3"/>
  <c r="C22" i="3" s="1"/>
  <c r="D22" i="3" s="1"/>
  <c r="H8" i="2"/>
  <c r="O8" i="2"/>
  <c r="I10" i="2"/>
  <c r="C10" i="2"/>
  <c r="B11" i="2"/>
  <c r="F9" i="2"/>
  <c r="G9" i="2"/>
  <c r="B23" i="3" l="1"/>
  <c r="H9" i="2"/>
  <c r="O9" i="2"/>
  <c r="I11" i="2"/>
  <c r="C11" i="2"/>
  <c r="B12" i="2"/>
  <c r="F10" i="2"/>
  <c r="G10" i="2"/>
  <c r="C23" i="3" l="1"/>
  <c r="D23" i="3" s="1"/>
  <c r="H10" i="2"/>
  <c r="O10" i="2"/>
  <c r="C12" i="2"/>
  <c r="I12" i="2"/>
  <c r="B13" i="2"/>
  <c r="G11" i="2"/>
  <c r="F11" i="2"/>
  <c r="H11" i="2" l="1"/>
  <c r="O11" i="2"/>
  <c r="F12" i="2"/>
  <c r="G12" i="2"/>
  <c r="B14" i="2"/>
  <c r="I13" i="2"/>
  <c r="C13" i="2"/>
  <c r="H12" i="2" l="1"/>
  <c r="O12" i="2"/>
  <c r="F13" i="2"/>
  <c r="G13" i="2"/>
  <c r="I14" i="2"/>
  <c r="B15" i="2"/>
  <c r="C14" i="2"/>
  <c r="H13" i="2" l="1"/>
  <c r="O13" i="2"/>
  <c r="G14" i="2"/>
  <c r="F14" i="2"/>
  <c r="C15" i="2"/>
  <c r="B16" i="2"/>
  <c r="I15" i="2"/>
  <c r="H14" i="2" l="1"/>
  <c r="O14" i="2"/>
  <c r="B17" i="2"/>
  <c r="I16" i="2"/>
  <c r="C16" i="2"/>
  <c r="G15" i="2"/>
  <c r="F15" i="2"/>
  <c r="H15" i="2" l="1"/>
  <c r="O15" i="2"/>
  <c r="C17" i="2"/>
  <c r="B18" i="2"/>
  <c r="I17" i="2"/>
  <c r="F16" i="2"/>
  <c r="C18" i="2" l="1"/>
  <c r="B19" i="2"/>
  <c r="I18" i="2"/>
  <c r="F17" i="2"/>
  <c r="I19" i="2" l="1"/>
  <c r="C19" i="2"/>
  <c r="B20" i="2"/>
  <c r="F18" i="2"/>
  <c r="I20" i="2" l="1"/>
  <c r="C20" i="2"/>
  <c r="B21" i="2"/>
  <c r="F19" i="2"/>
  <c r="I21" i="2" l="1"/>
  <c r="C21" i="2"/>
  <c r="B22" i="2"/>
  <c r="F20" i="2"/>
  <c r="I22" i="2" l="1"/>
  <c r="C22" i="2"/>
  <c r="B23" i="2"/>
  <c r="F21" i="2"/>
  <c r="F22" i="2" l="1"/>
  <c r="I23" i="2"/>
  <c r="C23" i="2"/>
  <c r="F23" i="2" l="1"/>
  <c r="G23" i="2" l="1"/>
  <c r="D22" i="2"/>
  <c r="G22" i="2" s="1"/>
  <c r="O22" i="2" s="1"/>
  <c r="D20" i="2"/>
  <c r="G20" i="2" s="1"/>
  <c r="O20" i="2" s="1"/>
  <c r="D19" i="2"/>
  <c r="G19" i="2" s="1"/>
  <c r="O19" i="2" s="1"/>
  <c r="D21" i="2"/>
  <c r="G21" i="2" s="1"/>
  <c r="O21" i="2" s="1"/>
  <c r="D18" i="2"/>
  <c r="G18" i="2" s="1"/>
  <c r="O18" i="2" s="1"/>
  <c r="D17" i="2"/>
  <c r="G17" i="2" s="1"/>
  <c r="O17" i="2" s="1"/>
  <c r="D16" i="2"/>
  <c r="G16" i="2" s="1"/>
  <c r="O16" i="2" s="1"/>
  <c r="O23" i="2" l="1"/>
  <c r="H18" i="2"/>
  <c r="H20" i="2"/>
  <c r="H22" i="2"/>
  <c r="H21" i="2"/>
  <c r="H19" i="2"/>
  <c r="H23" i="2"/>
  <c r="H16" i="2"/>
  <c r="H17" i="2"/>
  <c r="J25" i="2" l="1"/>
  <c r="J27" i="2" s="1"/>
  <c r="M25" i="2"/>
  <c r="M27" i="2" s="1"/>
  <c r="L25" i="2"/>
  <c r="L27" i="2" s="1"/>
  <c r="K25" i="2"/>
  <c r="K27" i="2" s="1"/>
  <c r="E17" i="3"/>
  <c r="E18" i="3"/>
  <c r="G18" i="3" l="1"/>
  <c r="G17" i="3"/>
  <c r="E19" i="3"/>
  <c r="G19" i="3" s="1"/>
  <c r="E21" i="3"/>
  <c r="E22" i="3"/>
  <c r="E23" i="3"/>
  <c r="G24" i="3" s="1"/>
  <c r="E20" i="3"/>
  <c r="G22" i="3" l="1"/>
  <c r="G21" i="3"/>
  <c r="G23" i="3"/>
  <c r="G20" i="3"/>
  <c r="H25" i="3" l="1"/>
  <c r="H27" i="3" s="1"/>
  <c r="J25" i="3"/>
  <c r="J27" i="3" s="1"/>
  <c r="I25" i="3"/>
  <c r="I27" i="3" s="1"/>
  <c r="L25" i="3"/>
  <c r="L27" i="3" s="1"/>
  <c r="K25" i="3"/>
  <c r="K27" i="3" s="1"/>
</calcChain>
</file>

<file path=xl/sharedStrings.xml><?xml version="1.0" encoding="utf-8"?>
<sst xmlns="http://schemas.openxmlformats.org/spreadsheetml/2006/main" count="50" uniqueCount="46">
  <si>
    <t>AÑOS</t>
  </si>
  <si>
    <t>CDS</t>
  </si>
  <si>
    <t>OIS</t>
  </si>
  <si>
    <t>1d</t>
  </si>
  <si>
    <t>1y</t>
  </si>
  <si>
    <t>2y</t>
  </si>
  <si>
    <t>3y</t>
  </si>
  <si>
    <t>5y</t>
  </si>
  <si>
    <t>Bond Cash Flows</t>
  </si>
  <si>
    <t>Node</t>
  </si>
  <si>
    <t>CF Dates</t>
  </si>
  <si>
    <t>Time (Act/365)</t>
  </si>
  <si>
    <t>Default Intensity</t>
  </si>
  <si>
    <t xml:space="preserve">Zero Bond </t>
  </si>
  <si>
    <r>
      <rPr>
        <b/>
        <sz val="10"/>
        <rFont val="Symbol"/>
        <family val="1"/>
        <charset val="2"/>
      </rPr>
      <t>D</t>
    </r>
    <r>
      <rPr>
        <b/>
        <sz val="10"/>
        <rFont val="Arial"/>
        <family val="2"/>
      </rPr>
      <t>t</t>
    </r>
  </si>
  <si>
    <r>
      <t>Q(</t>
    </r>
    <r>
      <rPr>
        <b/>
        <sz val="11"/>
        <color indexed="8"/>
        <rFont val="Symbol"/>
        <family val="1"/>
        <charset val="2"/>
      </rPr>
      <t>t</t>
    </r>
    <r>
      <rPr>
        <b/>
        <sz val="11"/>
        <color indexed="8"/>
        <rFont val="Calibri"/>
        <family val="2"/>
      </rPr>
      <t>&gt;ti)</t>
    </r>
  </si>
  <si>
    <r>
      <t>Q(</t>
    </r>
    <r>
      <rPr>
        <b/>
        <sz val="11"/>
        <color indexed="8"/>
        <rFont val="Symbol"/>
        <family val="1"/>
        <charset val="2"/>
      </rPr>
      <t>t&gt;</t>
    </r>
    <r>
      <rPr>
        <b/>
        <sz val="11"/>
        <color indexed="8"/>
        <rFont val="Calibri"/>
        <family val="2"/>
      </rPr>
      <t>ti-1</t>
    </r>
    <r>
      <rPr>
        <b/>
        <sz val="11"/>
        <color indexed="8"/>
        <rFont val="Symbol"/>
        <family val="1"/>
        <charset val="2"/>
      </rPr>
      <t>)-</t>
    </r>
    <r>
      <rPr>
        <b/>
        <sz val="11"/>
        <color indexed="8"/>
        <rFont val="Calibri"/>
        <family val="2"/>
      </rPr>
      <t>Q(</t>
    </r>
    <r>
      <rPr>
        <b/>
        <sz val="11"/>
        <color indexed="8"/>
        <rFont val="Symbol"/>
        <family val="1"/>
        <charset val="2"/>
      </rPr>
      <t>t</t>
    </r>
    <r>
      <rPr>
        <b/>
        <sz val="11"/>
        <color indexed="8"/>
        <rFont val="Calibri"/>
        <family val="2"/>
      </rPr>
      <t>&gt;ti)</t>
    </r>
  </si>
  <si>
    <t>Gradient</t>
  </si>
  <si>
    <t>CDS 1</t>
  </si>
  <si>
    <t>CDS 2</t>
  </si>
  <si>
    <t>CDS 3</t>
  </si>
  <si>
    <t>CDS 4</t>
  </si>
  <si>
    <t>Calculated Price</t>
  </si>
  <si>
    <t>Market Price</t>
  </si>
  <si>
    <t>Difference</t>
  </si>
  <si>
    <t>Nodo</t>
  </si>
  <si>
    <t>Fecha FC</t>
  </si>
  <si>
    <t>T (Act/360)</t>
  </si>
  <si>
    <t>Tasas Spot</t>
  </si>
  <si>
    <t>Bono ZC</t>
  </si>
  <si>
    <t>t</t>
  </si>
  <si>
    <t>Gradiente</t>
  </si>
  <si>
    <t>PD</t>
  </si>
  <si>
    <t>CDS1Y</t>
  </si>
  <si>
    <t>CDS2Y</t>
  </si>
  <si>
    <t>CDS3Y</t>
  </si>
  <si>
    <t>CDS5YY</t>
  </si>
  <si>
    <t>FEDFUNDS</t>
  </si>
  <si>
    <t>OIS1Y</t>
  </si>
  <si>
    <t>OIS2Y</t>
  </si>
  <si>
    <t>OIS3Y</t>
  </si>
  <si>
    <t>OIS5Y</t>
  </si>
  <si>
    <t>Flujos de Caja Swaps OIS USD</t>
  </si>
  <si>
    <t>Z-score MACRO</t>
  </si>
  <si>
    <t>Z-score CF</t>
  </si>
  <si>
    <t>Z-score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</si>
</sst>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 * #,##0.00_ ;_ * \-#,##0.00_ ;_ * &quot;-&quot;??_ ;_ @_ "/>
    <numFmt numFmtId="165" formatCode="0.000%"/>
    <numFmt numFmtId="166" formatCode="0.0000%"/>
    <numFmt numFmtId="167" formatCode="_(* #,##0.0000_);_(* \(#,##0.0000\);_(* &quot;-&quot;??_);_(@_)"/>
    <numFmt numFmtId="168" formatCode="_ * #,##0.0000_ ;_ * \-#,##0.0000_ ;_ * &quot;-&quot;??_ ;_ @_ "/>
    <numFmt numFmtId="169" formatCode="0.0000"/>
    <numFmt numFmtId="170" formatCode="\ &quot;Swap&quot;\ 0"/>
    <numFmt numFmtId="171" formatCode="_-* #,##0_-;\-* #,##0_-;_-* &quot;-&quot;??_-;_-@_-"/>
    <numFmt numFmtId="172" formatCode="d/mm/yyyy;@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Symbol"/>
      <family val="1"/>
      <charset val="2"/>
    </font>
    <font>
      <b/>
      <sz val="11"/>
      <color indexed="8"/>
      <name val="Symbol"/>
      <family val="1"/>
      <charset val="2"/>
    </font>
    <font>
      <b/>
      <sz val="11"/>
      <color indexed="8"/>
      <name val="Calibri"/>
      <family val="2"/>
    </font>
    <font>
      <sz val="10"/>
      <color rgb="FF000000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18">
    <xf numFmtId="0" fontId="0" fillId="0" borderId="0" xfId="0"/>
    <xf numFmtId="0" fontId="0" fillId="2" borderId="0" xfId="0" applyFill="1"/>
    <xf numFmtId="0" fontId="0" fillId="2" borderId="2" xfId="0" applyFill="1" applyBorder="1"/>
    <xf numFmtId="0" fontId="0" fillId="2" borderId="4" xfId="0" applyFill="1" applyBorder="1"/>
    <xf numFmtId="0" fontId="4" fillId="2" borderId="0" xfId="0" applyFont="1" applyFill="1"/>
    <xf numFmtId="14" fontId="0" fillId="5" borderId="2" xfId="0" applyNumberFormat="1" applyFill="1" applyBorder="1"/>
    <xf numFmtId="0" fontId="4" fillId="2" borderId="2" xfId="0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4" fontId="0" fillId="6" borderId="2" xfId="0" applyNumberFormat="1" applyFill="1" applyBorder="1" applyAlignment="1">
      <alignment horizontal="center"/>
    </xf>
    <xf numFmtId="165" fontId="1" fillId="3" borderId="2" xfId="2" applyNumberFormat="1" applyFill="1" applyBorder="1" applyAlignment="1">
      <alignment horizontal="center"/>
    </xf>
    <xf numFmtId="0" fontId="0" fillId="2" borderId="8" xfId="0" applyFill="1" applyBorder="1"/>
    <xf numFmtId="14" fontId="0" fillId="6" borderId="3" xfId="0" applyNumberFormat="1" applyFill="1" applyBorder="1" applyAlignment="1">
      <alignment horizontal="center"/>
    </xf>
    <xf numFmtId="165" fontId="1" fillId="3" borderId="3" xfId="2" applyNumberFormat="1" applyFill="1" applyBorder="1" applyAlignment="1">
      <alignment horizontal="center"/>
    </xf>
    <xf numFmtId="0" fontId="0" fillId="2" borderId="10" xfId="0" applyFill="1" applyBorder="1"/>
    <xf numFmtId="0" fontId="2" fillId="2" borderId="0" xfId="0" applyFont="1" applyFill="1" applyAlignment="1">
      <alignment horizontal="center"/>
    </xf>
    <xf numFmtId="14" fontId="0" fillId="4" borderId="3" xfId="0" applyNumberFormat="1" applyFill="1" applyBorder="1" applyAlignment="1">
      <alignment horizontal="center"/>
    </xf>
    <xf numFmtId="14" fontId="0" fillId="4" borderId="6" xfId="0" applyNumberFormat="1" applyFill="1" applyBorder="1" applyAlignment="1">
      <alignment horizontal="center"/>
    </xf>
    <xf numFmtId="165" fontId="1" fillId="3" borderId="6" xfId="2" applyNumberFormat="1" applyFill="1" applyBorder="1" applyAlignment="1">
      <alignment horizontal="center"/>
    </xf>
    <xf numFmtId="10" fontId="0" fillId="2" borderId="0" xfId="2" applyNumberFormat="1" applyFont="1" applyFill="1"/>
    <xf numFmtId="14" fontId="0" fillId="2" borderId="7" xfId="0" applyNumberFormat="1" applyFill="1" applyBorder="1"/>
    <xf numFmtId="14" fontId="0" fillId="2" borderId="0" xfId="0" applyNumberFormat="1" applyFill="1"/>
    <xf numFmtId="0" fontId="0" fillId="2" borderId="11" xfId="0" applyFill="1" applyBorder="1"/>
    <xf numFmtId="0" fontId="6" fillId="0" borderId="0" xfId="6"/>
    <xf numFmtId="0" fontId="4" fillId="0" borderId="0" xfId="6" applyFont="1"/>
    <xf numFmtId="0" fontId="6" fillId="2" borderId="0" xfId="6" applyFill="1"/>
    <xf numFmtId="0" fontId="2" fillId="2" borderId="8" xfId="6" applyFont="1" applyFill="1" applyBorder="1"/>
    <xf numFmtId="0" fontId="4" fillId="2" borderId="7" xfId="6" applyFont="1" applyFill="1" applyBorder="1" applyAlignment="1">
      <alignment horizontal="center"/>
    </xf>
    <xf numFmtId="0" fontId="4" fillId="2" borderId="7" xfId="6" applyFont="1" applyFill="1" applyBorder="1"/>
    <xf numFmtId="0" fontId="2" fillId="2" borderId="7" xfId="6" applyFont="1" applyFill="1" applyBorder="1" applyAlignment="1">
      <alignment horizontal="center"/>
    </xf>
    <xf numFmtId="0" fontId="4" fillId="2" borderId="4" xfId="6" applyFont="1" applyFill="1" applyBorder="1" applyAlignment="1">
      <alignment horizontal="center"/>
    </xf>
    <xf numFmtId="169" fontId="4" fillId="2" borderId="4" xfId="6" applyNumberFormat="1" applyFont="1" applyFill="1" applyBorder="1" applyAlignment="1">
      <alignment horizontal="center"/>
    </xf>
    <xf numFmtId="169" fontId="4" fillId="2" borderId="2" xfId="6" applyNumberFormat="1" applyFont="1" applyFill="1" applyBorder="1" applyAlignment="1">
      <alignment horizontal="center"/>
    </xf>
    <xf numFmtId="0" fontId="6" fillId="2" borderId="10" xfId="6" applyFill="1" applyBorder="1"/>
    <xf numFmtId="14" fontId="6" fillId="2" borderId="0" xfId="6" applyNumberFormat="1" applyFill="1"/>
    <xf numFmtId="169" fontId="6" fillId="2" borderId="0" xfId="6" applyNumberFormat="1" applyFill="1"/>
    <xf numFmtId="166" fontId="6" fillId="2" borderId="0" xfId="6" applyNumberFormat="1" applyFill="1"/>
    <xf numFmtId="0" fontId="6" fillId="2" borderId="9" xfId="6" applyFill="1" applyBorder="1"/>
    <xf numFmtId="169" fontId="6" fillId="2" borderId="4" xfId="6" applyNumberFormat="1" applyFill="1" applyBorder="1"/>
    <xf numFmtId="169" fontId="6" fillId="2" borderId="2" xfId="6" applyNumberFormat="1" applyFill="1" applyBorder="1"/>
    <xf numFmtId="166" fontId="6" fillId="2" borderId="0" xfId="7" applyNumberFormat="1" applyFill="1"/>
    <xf numFmtId="169" fontId="6" fillId="2" borderId="9" xfId="6" applyNumberFormat="1" applyFill="1" applyBorder="1"/>
    <xf numFmtId="169" fontId="6" fillId="2" borderId="3" xfId="6" applyNumberFormat="1" applyFill="1" applyBorder="1"/>
    <xf numFmtId="166" fontId="6" fillId="11" borderId="0" xfId="7" applyNumberFormat="1" applyFill="1"/>
    <xf numFmtId="0" fontId="6" fillId="0" borderId="10" xfId="6" applyBorder="1"/>
    <xf numFmtId="166" fontId="6" fillId="11" borderId="0" xfId="6" applyNumberFormat="1" applyFill="1"/>
    <xf numFmtId="0" fontId="6" fillId="0" borderId="11" xfId="6" applyBorder="1"/>
    <xf numFmtId="14" fontId="6" fillId="2" borderId="12" xfId="6" applyNumberFormat="1" applyFill="1" applyBorder="1"/>
    <xf numFmtId="0" fontId="6" fillId="0" borderId="12" xfId="6" applyBorder="1"/>
    <xf numFmtId="166" fontId="6" fillId="2" borderId="12" xfId="6" applyNumberFormat="1" applyFill="1" applyBorder="1"/>
    <xf numFmtId="169" fontId="6" fillId="2" borderId="12" xfId="6" applyNumberFormat="1" applyFill="1" applyBorder="1"/>
    <xf numFmtId="0" fontId="6" fillId="2" borderId="12" xfId="6" applyFill="1" applyBorder="1"/>
    <xf numFmtId="169" fontId="6" fillId="2" borderId="5" xfId="6" applyNumberFormat="1" applyFill="1" applyBorder="1"/>
    <xf numFmtId="10" fontId="6" fillId="2" borderId="2" xfId="7" applyNumberFormat="1" applyFill="1" applyBorder="1"/>
    <xf numFmtId="0" fontId="4" fillId="2" borderId="0" xfId="6" applyFont="1" applyFill="1" applyAlignment="1">
      <alignment horizontal="left"/>
    </xf>
    <xf numFmtId="10" fontId="6" fillId="2" borderId="6" xfId="7" applyNumberFormat="1" applyFill="1" applyBorder="1"/>
    <xf numFmtId="168" fontId="6" fillId="2" borderId="1" xfId="8" applyNumberFormat="1" applyFill="1" applyBorder="1"/>
    <xf numFmtId="0" fontId="6" fillId="2" borderId="0" xfId="6" applyFill="1" applyAlignment="1">
      <alignment horizontal="right"/>
    </xf>
    <xf numFmtId="10" fontId="6" fillId="2" borderId="0" xfId="7" applyNumberFormat="1" applyFill="1"/>
    <xf numFmtId="0" fontId="4" fillId="0" borderId="0" xfId="0" applyFont="1"/>
    <xf numFmtId="43" fontId="4" fillId="0" borderId="0" xfId="1" applyFont="1"/>
    <xf numFmtId="0" fontId="4" fillId="2" borderId="4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170" fontId="4" fillId="2" borderId="2" xfId="0" applyNumberFormat="1" applyFont="1" applyFill="1" applyBorder="1" applyAlignment="1">
      <alignment horizontal="center"/>
    </xf>
    <xf numFmtId="169" fontId="0" fillId="2" borderId="7" xfId="0" applyNumberFormat="1" applyFill="1" applyBorder="1"/>
    <xf numFmtId="166" fontId="0" fillId="2" borderId="7" xfId="0" applyNumberFormat="1" applyFill="1" applyBorder="1"/>
    <xf numFmtId="169" fontId="3" fillId="2" borderId="4" xfId="0" applyNumberFormat="1" applyFont="1" applyFill="1" applyBorder="1"/>
    <xf numFmtId="169" fontId="0" fillId="2" borderId="2" xfId="0" applyNumberFormat="1" applyFill="1" applyBorder="1"/>
    <xf numFmtId="169" fontId="0" fillId="2" borderId="8" xfId="0" applyNumberFormat="1" applyFill="1" applyBorder="1"/>
    <xf numFmtId="0" fontId="0" fillId="2" borderId="9" xfId="0" applyFill="1" applyBorder="1"/>
    <xf numFmtId="14" fontId="0" fillId="11" borderId="12" xfId="0" applyNumberFormat="1" applyFill="1" applyBorder="1"/>
    <xf numFmtId="169" fontId="0" fillId="11" borderId="12" xfId="0" applyNumberFormat="1" applyFill="1" applyBorder="1"/>
    <xf numFmtId="166" fontId="0" fillId="11" borderId="12" xfId="0" applyNumberFormat="1" applyFill="1" applyBorder="1"/>
    <xf numFmtId="169" fontId="0" fillId="2" borderId="3" xfId="0" applyNumberFormat="1" applyFill="1" applyBorder="1"/>
    <xf numFmtId="169" fontId="0" fillId="2" borderId="9" xfId="0" applyNumberFormat="1" applyFill="1" applyBorder="1"/>
    <xf numFmtId="169" fontId="0" fillId="2" borderId="10" xfId="0" applyNumberFormat="1" applyFill="1" applyBorder="1"/>
    <xf numFmtId="169" fontId="0" fillId="2" borderId="0" xfId="0" applyNumberFormat="1" applyFill="1"/>
    <xf numFmtId="166" fontId="0" fillId="2" borderId="0" xfId="0" applyNumberFormat="1" applyFill="1"/>
    <xf numFmtId="169" fontId="0" fillId="2" borderId="6" xfId="0" applyNumberFormat="1" applyFill="1" applyBorder="1"/>
    <xf numFmtId="0" fontId="4" fillId="2" borderId="0" xfId="0" applyFont="1" applyFill="1" applyAlignment="1">
      <alignment horizontal="left"/>
    </xf>
    <xf numFmtId="167" fontId="0" fillId="2" borderId="1" xfId="1" applyNumberFormat="1" applyFont="1" applyFill="1" applyBorder="1"/>
    <xf numFmtId="10" fontId="6" fillId="2" borderId="3" xfId="2" applyNumberFormat="1" applyFont="1" applyFill="1" applyBorder="1"/>
    <xf numFmtId="0" fontId="4" fillId="2" borderId="2" xfId="6" applyFont="1" applyFill="1" applyBorder="1" applyAlignment="1">
      <alignment horizontal="center"/>
    </xf>
    <xf numFmtId="10" fontId="6" fillId="2" borderId="0" xfId="2" applyNumberFormat="1" applyFont="1" applyFill="1" applyBorder="1"/>
    <xf numFmtId="2" fontId="6" fillId="2" borderId="0" xfId="6" applyNumberFormat="1" applyFill="1"/>
    <xf numFmtId="0" fontId="0" fillId="2" borderId="0" xfId="0" applyFill="1" applyBorder="1"/>
    <xf numFmtId="14" fontId="0" fillId="2" borderId="0" xfId="0" applyNumberFormat="1" applyFill="1" applyBorder="1"/>
    <xf numFmtId="169" fontId="0" fillId="2" borderId="0" xfId="0" applyNumberFormat="1" applyFill="1" applyBorder="1"/>
    <xf numFmtId="166" fontId="0" fillId="2" borderId="0" xfId="2" applyNumberFormat="1" applyFont="1" applyFill="1" applyBorder="1"/>
    <xf numFmtId="14" fontId="0" fillId="11" borderId="0" xfId="0" applyNumberFormat="1" applyFill="1" applyBorder="1"/>
    <xf numFmtId="169" fontId="0" fillId="11" borderId="0" xfId="0" applyNumberFormat="1" applyFill="1" applyBorder="1"/>
    <xf numFmtId="166" fontId="0" fillId="11" borderId="0" xfId="0" applyNumberFormat="1" applyFill="1" applyBorder="1"/>
    <xf numFmtId="166" fontId="0" fillId="2" borderId="0" xfId="0" applyNumberFormat="1" applyFill="1" applyBorder="1"/>
    <xf numFmtId="0" fontId="2" fillId="2" borderId="8" xfId="0" applyFont="1" applyFill="1" applyBorder="1"/>
    <xf numFmtId="0" fontId="4" fillId="2" borderId="7" xfId="0" applyFont="1" applyFill="1" applyBorder="1" applyAlignment="1">
      <alignment horizontal="center"/>
    </xf>
    <xf numFmtId="0" fontId="4" fillId="2" borderId="7" xfId="0" applyFont="1" applyFill="1" applyBorder="1"/>
    <xf numFmtId="0" fontId="0" fillId="0" borderId="0" xfId="0" applyFill="1"/>
    <xf numFmtId="169" fontId="0" fillId="0" borderId="0" xfId="0" applyNumberFormat="1" applyFill="1"/>
    <xf numFmtId="169" fontId="0" fillId="2" borderId="12" xfId="0" applyNumberFormat="1" applyFill="1" applyBorder="1"/>
    <xf numFmtId="169" fontId="0" fillId="2" borderId="5" xfId="0" applyNumberFormat="1" applyFill="1" applyBorder="1"/>
    <xf numFmtId="169" fontId="0" fillId="2" borderId="11" xfId="0" applyNumberFormat="1" applyFill="1" applyBorder="1"/>
    <xf numFmtId="171" fontId="0" fillId="2" borderId="3" xfId="1" applyNumberFormat="1" applyFont="1" applyFill="1" applyBorder="1"/>
    <xf numFmtId="171" fontId="0" fillId="2" borderId="6" xfId="1" applyNumberFormat="1" applyFont="1" applyFill="1" applyBorder="1"/>
    <xf numFmtId="172" fontId="0" fillId="0" borderId="0" xfId="0" applyNumberFormat="1"/>
    <xf numFmtId="10" fontId="6" fillId="2" borderId="6" xfId="2" applyNumberFormat="1" applyFont="1" applyFill="1" applyBorder="1"/>
    <xf numFmtId="2" fontId="0" fillId="7" borderId="8" xfId="0" applyNumberFormat="1" applyFill="1" applyBorder="1"/>
    <xf numFmtId="2" fontId="0" fillId="7" borderId="10" xfId="0" applyNumberFormat="1" applyFill="1" applyBorder="1"/>
    <xf numFmtId="2" fontId="0" fillId="9" borderId="10" xfId="0" applyNumberFormat="1" applyFill="1" applyBorder="1"/>
    <xf numFmtId="2" fontId="0" fillId="9" borderId="11" xfId="0" applyNumberFormat="1" applyFill="1" applyBorder="1"/>
    <xf numFmtId="0" fontId="4" fillId="4" borderId="2" xfId="0" applyFont="1" applyFill="1" applyBorder="1" applyAlignment="1">
      <alignment horizontal="center"/>
    </xf>
    <xf numFmtId="165" fontId="1" fillId="8" borderId="8" xfId="2" applyNumberFormat="1" applyFill="1" applyBorder="1" applyAlignment="1">
      <alignment horizontal="center"/>
    </xf>
    <xf numFmtId="10" fontId="1" fillId="3" borderId="10" xfId="2" applyNumberFormat="1" applyFill="1" applyBorder="1" applyAlignment="1">
      <alignment horizontal="center"/>
    </xf>
    <xf numFmtId="10" fontId="1" fillId="3" borderId="11" xfId="2" applyNumberFormat="1" applyFill="1" applyBorder="1" applyAlignment="1">
      <alignment horizontal="center"/>
    </xf>
    <xf numFmtId="43" fontId="0" fillId="0" borderId="0" xfId="1" applyNumberFormat="1" applyFont="1"/>
    <xf numFmtId="43" fontId="0" fillId="0" borderId="0" xfId="1" applyFont="1"/>
    <xf numFmtId="10" fontId="6" fillId="2" borderId="0" xfId="2" applyNumberFormat="1" applyFont="1" applyFill="1"/>
    <xf numFmtId="0" fontId="10" fillId="0" borderId="0" xfId="0" applyFont="1" applyAlignment="1">
      <alignment vertical="center"/>
    </xf>
    <xf numFmtId="0" fontId="5" fillId="10" borderId="12" xfId="6" applyFont="1" applyFill="1" applyBorder="1" applyAlignment="1">
      <alignment horizontal="center"/>
    </xf>
    <xf numFmtId="0" fontId="5" fillId="10" borderId="12" xfId="0" applyFont="1" applyFill="1" applyBorder="1" applyAlignment="1">
      <alignment horizontal="center"/>
    </xf>
  </cellXfs>
  <cellStyles count="9">
    <cellStyle name="Millares" xfId="1" builtinId="3"/>
    <cellStyle name="Millares 2" xfId="5" xr:uid="{937CFCB9-B953-4C6E-89AF-1B4F92954584}"/>
    <cellStyle name="Millares 3" xfId="3" xr:uid="{BC0BC702-C1CF-457D-8DB2-0461D86B32AA}"/>
    <cellStyle name="Millares 4" xfId="8" xr:uid="{ED3382DA-EEF2-49F8-9CD3-C5F8BE88434F}"/>
    <cellStyle name="Normal" xfId="0" builtinId="0"/>
    <cellStyle name="Normal 2" xfId="4" xr:uid="{8E5E429E-86A1-4DC7-A816-56AA2F1DD959}"/>
    <cellStyle name="Normal 7" xfId="6" xr:uid="{91D623E7-CF67-4100-AB52-BCAB1D512120}"/>
    <cellStyle name="Porcentaje" xfId="2" builtinId="5"/>
    <cellStyle name="Porcentaje 4" xfId="7" xr:uid="{0E2B2909-154C-4F4B-9114-0EFF39CB23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/>
              <a:t>Probabilidad</a:t>
            </a:r>
            <a:r>
              <a:rPr lang="es-CO" baseline="0"/>
              <a:t> de default 5Y - HOY</a:t>
            </a:r>
            <a:endParaRPr lang="es-CO"/>
          </a:p>
        </c:rich>
      </c:tx>
      <c:layout>
        <c:manualLayout>
          <c:xMode val="edge"/>
          <c:yMode val="edge"/>
          <c:x val="0.26487767388863187"/>
          <c:y val="2.2077314763889289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46122261101219"/>
          <c:y val="0.10427338582677165"/>
          <c:w val="0.83072764378327513"/>
          <c:h val="0.5720367190176998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'CDS USD'!$C$4:$C$23</c:f>
              <c:numCache>
                <c:formatCode>0.00</c:formatCode>
                <c:ptCount val="20"/>
                <c:pt idx="0">
                  <c:v>0.25205479452054796</c:v>
                </c:pt>
                <c:pt idx="1">
                  <c:v>0.50136986301369868</c:v>
                </c:pt>
                <c:pt idx="2">
                  <c:v>0.74794520547945209</c:v>
                </c:pt>
                <c:pt idx="3">
                  <c:v>1</c:v>
                </c:pt>
                <c:pt idx="4">
                  <c:v>1.252054794520548</c:v>
                </c:pt>
                <c:pt idx="5">
                  <c:v>1.5013698630136987</c:v>
                </c:pt>
                <c:pt idx="6">
                  <c:v>1.747945205479452</c:v>
                </c:pt>
                <c:pt idx="7">
                  <c:v>2</c:v>
                </c:pt>
                <c:pt idx="8">
                  <c:v>2.2520547945205478</c:v>
                </c:pt>
                <c:pt idx="9">
                  <c:v>2.5013698630136987</c:v>
                </c:pt>
                <c:pt idx="10">
                  <c:v>2.7479452054794522</c:v>
                </c:pt>
                <c:pt idx="11">
                  <c:v>3</c:v>
                </c:pt>
                <c:pt idx="12">
                  <c:v>3.2520547945205478</c:v>
                </c:pt>
                <c:pt idx="13">
                  <c:v>3.5013698630136987</c:v>
                </c:pt>
                <c:pt idx="14">
                  <c:v>3.7506849315068491</c:v>
                </c:pt>
                <c:pt idx="15">
                  <c:v>4.0027397260273974</c:v>
                </c:pt>
                <c:pt idx="16">
                  <c:v>4.2547945205479456</c:v>
                </c:pt>
                <c:pt idx="17">
                  <c:v>4.5041095890410956</c:v>
                </c:pt>
                <c:pt idx="18">
                  <c:v>4.7506849315068491</c:v>
                </c:pt>
                <c:pt idx="19">
                  <c:v>5.0027397260273974</c:v>
                </c:pt>
              </c:numCache>
            </c:numRef>
          </c:xVal>
          <c:yVal>
            <c:numRef>
              <c:f>'CDS USD'!$O$3:$O$23</c:f>
              <c:numCache>
                <c:formatCode>0.00%</c:formatCode>
                <c:ptCount val="21"/>
                <c:pt idx="0">
                  <c:v>0</c:v>
                </c:pt>
                <c:pt idx="1">
                  <c:v>2.3472164750584223E-3</c:v>
                </c:pt>
                <c:pt idx="2">
                  <c:v>4.6634997583826499E-3</c:v>
                </c:pt>
                <c:pt idx="3">
                  <c:v>6.9490398633549333E-3</c:v>
                </c:pt>
                <c:pt idx="4">
                  <c:v>9.2799454375602775E-3</c:v>
                </c:pt>
                <c:pt idx="5">
                  <c:v>1.6551887394128606E-2</c:v>
                </c:pt>
                <c:pt idx="6">
                  <c:v>1.9814923785047345E-2</c:v>
                </c:pt>
                <c:pt idx="7">
                  <c:v>2.3031453703262761E-2</c:v>
                </c:pt>
                <c:pt idx="8">
                  <c:v>2.6308552667259621E-2</c:v>
                </c:pt>
                <c:pt idx="9">
                  <c:v>3.7722662335890389E-2</c:v>
                </c:pt>
                <c:pt idx="10">
                  <c:v>4.1810289104470155E-2</c:v>
                </c:pt>
                <c:pt idx="11">
                  <c:v>4.5835918100435413E-2</c:v>
                </c:pt>
                <c:pt idx="12">
                  <c:v>4.993352530782813E-2</c:v>
                </c:pt>
                <c:pt idx="13">
                  <c:v>6.1052769418804553E-2</c:v>
                </c:pt>
                <c:pt idx="14">
                  <c:v>6.5576497905726616E-2</c:v>
                </c:pt>
                <c:pt idx="15">
                  <c:v>7.007843164342642E-2</c:v>
                </c:pt>
                <c:pt idx="16">
                  <c:v>7.46077889922514E-2</c:v>
                </c:pt>
                <c:pt idx="17">
                  <c:v>7.9115085256904027E-2</c:v>
                </c:pt>
                <c:pt idx="18">
                  <c:v>8.355179180048844E-2</c:v>
                </c:pt>
                <c:pt idx="19">
                  <c:v>8.7918718519651051E-2</c:v>
                </c:pt>
                <c:pt idx="20">
                  <c:v>9.2361181406386383E-2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E4-4531-B35C-84B1FD25E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5792"/>
        <c:axId val="503115776"/>
      </c:scatterChart>
      <c:valAx>
        <c:axId val="503105792"/>
        <c:scaling>
          <c:orientation val="minMax"/>
          <c:max val="5"/>
        </c:scaling>
        <c:delete val="0"/>
        <c:axPos val="b"/>
        <c:numFmt formatCode="0.00" sourceLinked="1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15776"/>
        <c:crosses val="autoZero"/>
        <c:crossBetween val="midCat"/>
      </c:valAx>
      <c:valAx>
        <c:axId val="503115776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05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 sz="1800" b="1" i="0" baseline="0">
                <a:effectLst/>
              </a:rPr>
              <a:t>Probabilidad de default 5Y vs Z-score Macro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20459628885003528"/>
          <c:y val="1.1754754184033015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46122261101219"/>
          <c:y val="0.10427338582677165"/>
          <c:w val="0.83072764378327513"/>
          <c:h val="0.57203671901769981"/>
        </c:manualLayout>
      </c:layout>
      <c:scatterChart>
        <c:scatterStyle val="smoothMarker"/>
        <c:varyColors val="0"/>
        <c:ser>
          <c:idx val="0"/>
          <c:order val="0"/>
          <c:tx>
            <c:v>Prob Default</c:v>
          </c:tx>
          <c:spPr>
            <a:ln w="44450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HISTORIA!$A$2:$A$898</c:f>
              <c:numCache>
                <c:formatCode>d/mm/yyyy;@</c:formatCode>
                <c:ptCount val="897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  <c:pt idx="896">
                  <c:v>44009</c:v>
                </c:pt>
              </c:numCache>
            </c:numRef>
          </c:xVal>
          <c:yVal>
            <c:numRef>
              <c:f>HISTORIA!$K$2:$K$898</c:f>
              <c:numCache>
                <c:formatCode>General</c:formatCode>
                <c:ptCount val="897"/>
                <c:pt idx="0">
                  <c:v>0.41740822649320153</c:v>
                </c:pt>
                <c:pt idx="1">
                  <c:v>0.42256938435952018</c:v>
                </c:pt>
                <c:pt idx="2">
                  <c:v>0.43434483195233053</c:v>
                </c:pt>
                <c:pt idx="3">
                  <c:v>0.43703816200004497</c:v>
                </c:pt>
                <c:pt idx="4">
                  <c:v>0.42703702304716684</c:v>
                </c:pt>
                <c:pt idx="5">
                  <c:v>0.4146094809613049</c:v>
                </c:pt>
                <c:pt idx="6">
                  <c:v>0.40721083180682349</c:v>
                </c:pt>
                <c:pt idx="7">
                  <c:v>0.40591511314818307</c:v>
                </c:pt>
                <c:pt idx="8">
                  <c:v>0.40206345929878395</c:v>
                </c:pt>
                <c:pt idx="9">
                  <c:v>0.39188924169643158</c:v>
                </c:pt>
                <c:pt idx="10">
                  <c:v>0.35822139130466168</c:v>
                </c:pt>
                <c:pt idx="11">
                  <c:v>0.35613807626633653</c:v>
                </c:pt>
                <c:pt idx="12">
                  <c:v>0.34710115392050322</c:v>
                </c:pt>
                <c:pt idx="13">
                  <c:v>0.33495765848517378</c:v>
                </c:pt>
                <c:pt idx="14">
                  <c:v>0.2889733477482932</c:v>
                </c:pt>
                <c:pt idx="15">
                  <c:v>0.28290329588551411</c:v>
                </c:pt>
                <c:pt idx="16">
                  <c:v>0.31373995935755283</c:v>
                </c:pt>
                <c:pt idx="17">
                  <c:v>0.31631886136896026</c:v>
                </c:pt>
                <c:pt idx="18">
                  <c:v>0.30921424998389702</c:v>
                </c:pt>
                <c:pt idx="19">
                  <c:v>0.29623128867979431</c:v>
                </c:pt>
                <c:pt idx="20">
                  <c:v>0.29239085383454377</c:v>
                </c:pt>
                <c:pt idx="21">
                  <c:v>0.3033967443790454</c:v>
                </c:pt>
                <c:pt idx="22">
                  <c:v>0.29336517278412777</c:v>
                </c:pt>
                <c:pt idx="23">
                  <c:v>0.29581464518870026</c:v>
                </c:pt>
                <c:pt idx="24">
                  <c:v>0.29676981932655677</c:v>
                </c:pt>
                <c:pt idx="25">
                  <c:v>0.29196824950520239</c:v>
                </c:pt>
                <c:pt idx="26">
                  <c:v>0.2838288158647454</c:v>
                </c:pt>
                <c:pt idx="27">
                  <c:v>0.29998162756140279</c:v>
                </c:pt>
                <c:pt idx="28">
                  <c:v>0.31230719252264139</c:v>
                </c:pt>
                <c:pt idx="29">
                  <c:v>0.30227560076321303</c:v>
                </c:pt>
                <c:pt idx="30">
                  <c:v>0.26942551819257465</c:v>
                </c:pt>
                <c:pt idx="31">
                  <c:v>0.27587863174487648</c:v>
                </c:pt>
                <c:pt idx="32">
                  <c:v>0.27587863174487648</c:v>
                </c:pt>
                <c:pt idx="33">
                  <c:v>0.27732253894269365</c:v>
                </c:pt>
                <c:pt idx="34">
                  <c:v>0.27579557551053568</c:v>
                </c:pt>
                <c:pt idx="35">
                  <c:v>0.28383595227259983</c:v>
                </c:pt>
                <c:pt idx="36">
                  <c:v>0.29627051961562356</c:v>
                </c:pt>
                <c:pt idx="37">
                  <c:v>0.26771637033684925</c:v>
                </c:pt>
                <c:pt idx="38">
                  <c:v>0.25371685415866785</c:v>
                </c:pt>
                <c:pt idx="39">
                  <c:v>0.26773683126656378</c:v>
                </c:pt>
                <c:pt idx="40">
                  <c:v>0.27871735900780759</c:v>
                </c:pt>
                <c:pt idx="41">
                  <c:v>0.27752245384801777</c:v>
                </c:pt>
                <c:pt idx="42">
                  <c:v>0.28103269776371353</c:v>
                </c:pt>
                <c:pt idx="43">
                  <c:v>0.27865662372086542</c:v>
                </c:pt>
                <c:pt idx="44">
                  <c:v>0.27722034795531136</c:v>
                </c:pt>
                <c:pt idx="45">
                  <c:v>0.26435817202701017</c:v>
                </c:pt>
                <c:pt idx="46">
                  <c:v>0.25862172909995318</c:v>
                </c:pt>
                <c:pt idx="47">
                  <c:v>0.26362016212522099</c:v>
                </c:pt>
                <c:pt idx="48">
                  <c:v>0.26136332069563528</c:v>
                </c:pt>
                <c:pt idx="49">
                  <c:v>0.26136332069563528</c:v>
                </c:pt>
                <c:pt idx="50">
                  <c:v>0.20049127880090645</c:v>
                </c:pt>
                <c:pt idx="51">
                  <c:v>0.21992967310785672</c:v>
                </c:pt>
                <c:pt idx="52">
                  <c:v>0.2292765416126471</c:v>
                </c:pt>
                <c:pt idx="53">
                  <c:v>0.26331786250032252</c:v>
                </c:pt>
                <c:pt idx="54">
                  <c:v>0.29049542615947554</c:v>
                </c:pt>
                <c:pt idx="55">
                  <c:v>0.29192350942625511</c:v>
                </c:pt>
                <c:pt idx="56">
                  <c:v>0.29436359774751764</c:v>
                </c:pt>
                <c:pt idx="57">
                  <c:v>0.27742166959083236</c:v>
                </c:pt>
                <c:pt idx="58">
                  <c:v>0.26085928767904099</c:v>
                </c:pt>
                <c:pt idx="59">
                  <c:v>0.25862172946952589</c:v>
                </c:pt>
                <c:pt idx="60">
                  <c:v>0.24589439385017253</c:v>
                </c:pt>
                <c:pt idx="61">
                  <c:v>0.23878795142495002</c:v>
                </c:pt>
                <c:pt idx="62">
                  <c:v>0.2182016567301811</c:v>
                </c:pt>
                <c:pt idx="63">
                  <c:v>0.2182016567301811</c:v>
                </c:pt>
                <c:pt idx="64">
                  <c:v>0.24397675746324343</c:v>
                </c:pt>
                <c:pt idx="65">
                  <c:v>0.25508930245744632</c:v>
                </c:pt>
                <c:pt idx="66">
                  <c:v>0.28393138373606364</c:v>
                </c:pt>
                <c:pt idx="67">
                  <c:v>0.3379306907111953</c:v>
                </c:pt>
                <c:pt idx="68">
                  <c:v>0.32878858134397726</c:v>
                </c:pt>
                <c:pt idx="69">
                  <c:v>0.33370794531309089</c:v>
                </c:pt>
                <c:pt idx="70">
                  <c:v>0.31260092253359628</c:v>
                </c:pt>
                <c:pt idx="71">
                  <c:v>0.29853151953376211</c:v>
                </c:pt>
                <c:pt idx="72">
                  <c:v>0.29106636216390569</c:v>
                </c:pt>
                <c:pt idx="73">
                  <c:v>0.28483728847709266</c:v>
                </c:pt>
                <c:pt idx="74">
                  <c:v>0.28243571653218991</c:v>
                </c:pt>
                <c:pt idx="75">
                  <c:v>0.27944887032449406</c:v>
                </c:pt>
                <c:pt idx="76">
                  <c:v>0.27491608795721467</c:v>
                </c:pt>
                <c:pt idx="77">
                  <c:v>0.2688332953937852</c:v>
                </c:pt>
                <c:pt idx="78">
                  <c:v>0.27282024596849885</c:v>
                </c:pt>
                <c:pt idx="79">
                  <c:v>0.2694133156141918</c:v>
                </c:pt>
                <c:pt idx="80">
                  <c:v>0.26571867901374657</c:v>
                </c:pt>
                <c:pt idx="81">
                  <c:v>0.26506200188855522</c:v>
                </c:pt>
                <c:pt idx="82">
                  <c:v>0.25799411641095593</c:v>
                </c:pt>
                <c:pt idx="83">
                  <c:v>0.25216549709988156</c:v>
                </c:pt>
                <c:pt idx="84">
                  <c:v>0.23861374612975961</c:v>
                </c:pt>
                <c:pt idx="85">
                  <c:v>0.22672986438742504</c:v>
                </c:pt>
                <c:pt idx="86">
                  <c:v>0.23709939738707886</c:v>
                </c:pt>
                <c:pt idx="87">
                  <c:v>0.24298163835000564</c:v>
                </c:pt>
                <c:pt idx="88">
                  <c:v>0.23489461340619444</c:v>
                </c:pt>
                <c:pt idx="89">
                  <c:v>0.21452413669338144</c:v>
                </c:pt>
                <c:pt idx="90">
                  <c:v>0.24214358494353794</c:v>
                </c:pt>
                <c:pt idx="91">
                  <c:v>0.23468044913468356</c:v>
                </c:pt>
                <c:pt idx="92">
                  <c:v>0.23343027652299331</c:v>
                </c:pt>
                <c:pt idx="93">
                  <c:v>0.22016173979495013</c:v>
                </c:pt>
                <c:pt idx="94">
                  <c:v>0.23245787086704872</c:v>
                </c:pt>
                <c:pt idx="95">
                  <c:v>0.20373467482131724</c:v>
                </c:pt>
                <c:pt idx="96">
                  <c:v>0.2140717956438678</c:v>
                </c:pt>
                <c:pt idx="97">
                  <c:v>0.21596273833025503</c:v>
                </c:pt>
                <c:pt idx="98">
                  <c:v>0.19575197827293378</c:v>
                </c:pt>
                <c:pt idx="99">
                  <c:v>0.21046326706958796</c:v>
                </c:pt>
                <c:pt idx="100">
                  <c:v>0.2179983145275336</c:v>
                </c:pt>
                <c:pt idx="101">
                  <c:v>0.20727127753725283</c:v>
                </c:pt>
                <c:pt idx="102">
                  <c:v>0.19193591742117777</c:v>
                </c:pt>
                <c:pt idx="103">
                  <c:v>0.19727314516582117</c:v>
                </c:pt>
                <c:pt idx="104">
                  <c:v>0.20893321196227121</c:v>
                </c:pt>
                <c:pt idx="105">
                  <c:v>0.20329514385853709</c:v>
                </c:pt>
                <c:pt idx="106">
                  <c:v>0.19855887951748774</c:v>
                </c:pt>
                <c:pt idx="107">
                  <c:v>0.19273456172617209</c:v>
                </c:pt>
                <c:pt idx="108">
                  <c:v>0.18523766749680226</c:v>
                </c:pt>
                <c:pt idx="109">
                  <c:v>0.18993946220919145</c:v>
                </c:pt>
                <c:pt idx="110">
                  <c:v>0.18619860238152364</c:v>
                </c:pt>
                <c:pt idx="111">
                  <c:v>0.19210033466381493</c:v>
                </c:pt>
                <c:pt idx="112">
                  <c:v>0.21816856699454235</c:v>
                </c:pt>
                <c:pt idx="113">
                  <c:v>0.25970647689567172</c:v>
                </c:pt>
                <c:pt idx="114">
                  <c:v>0.243828425216571</c:v>
                </c:pt>
                <c:pt idx="115">
                  <c:v>0.23761181404078702</c:v>
                </c:pt>
                <c:pt idx="116">
                  <c:v>0.25177431494416813</c:v>
                </c:pt>
                <c:pt idx="117">
                  <c:v>0.237367921027687</c:v>
                </c:pt>
                <c:pt idx="118">
                  <c:v>0.23943170066101882</c:v>
                </c:pt>
                <c:pt idx="119">
                  <c:v>0.21889213101813398</c:v>
                </c:pt>
                <c:pt idx="120">
                  <c:v>0.21696008083783747</c:v>
                </c:pt>
                <c:pt idx="121">
                  <c:v>0.21696008083783747</c:v>
                </c:pt>
                <c:pt idx="122">
                  <c:v>0.19895001154165615</c:v>
                </c:pt>
                <c:pt idx="123">
                  <c:v>0.18949101030437299</c:v>
                </c:pt>
                <c:pt idx="124">
                  <c:v>0.18657985149135481</c:v>
                </c:pt>
                <c:pt idx="125">
                  <c:v>0.18489834213140466</c:v>
                </c:pt>
                <c:pt idx="126">
                  <c:v>0.18323022382420817</c:v>
                </c:pt>
                <c:pt idx="127">
                  <c:v>0.18056364264908142</c:v>
                </c:pt>
                <c:pt idx="128">
                  <c:v>0.18436463032301831</c:v>
                </c:pt>
                <c:pt idx="129">
                  <c:v>0.17579751545940248</c:v>
                </c:pt>
                <c:pt idx="130">
                  <c:v>0.17997499387209637</c:v>
                </c:pt>
                <c:pt idx="131">
                  <c:v>0.16891508402654642</c:v>
                </c:pt>
                <c:pt idx="132">
                  <c:v>0.16166228815264916</c:v>
                </c:pt>
                <c:pt idx="133">
                  <c:v>0.16688885846601365</c:v>
                </c:pt>
                <c:pt idx="134">
                  <c:v>0.16154938510905092</c:v>
                </c:pt>
                <c:pt idx="135">
                  <c:v>0.16154938510905092</c:v>
                </c:pt>
                <c:pt idx="136">
                  <c:v>0.1582988940635025</c:v>
                </c:pt>
                <c:pt idx="137">
                  <c:v>0.14816455472812329</c:v>
                </c:pt>
                <c:pt idx="138">
                  <c:v>0.1417524896647302</c:v>
                </c:pt>
                <c:pt idx="139">
                  <c:v>0.13064495280888522</c:v>
                </c:pt>
                <c:pt idx="140">
                  <c:v>0.12024039582418278</c:v>
                </c:pt>
                <c:pt idx="141">
                  <c:v>0.14718847856298034</c:v>
                </c:pt>
                <c:pt idx="142">
                  <c:v>0.17446853527900164</c:v>
                </c:pt>
                <c:pt idx="143">
                  <c:v>0.16041454904072439</c:v>
                </c:pt>
                <c:pt idx="144">
                  <c:v>0.14635857100036975</c:v>
                </c:pt>
                <c:pt idx="145">
                  <c:v>0.13603827996617068</c:v>
                </c:pt>
                <c:pt idx="146">
                  <c:v>0.12758202726095602</c:v>
                </c:pt>
                <c:pt idx="147">
                  <c:v>0.11833405615554848</c:v>
                </c:pt>
                <c:pt idx="148">
                  <c:v>0.11342388716359797</c:v>
                </c:pt>
                <c:pt idx="149">
                  <c:v>0.10884441344316431</c:v>
                </c:pt>
                <c:pt idx="150">
                  <c:v>0.11050432496070095</c:v>
                </c:pt>
                <c:pt idx="151">
                  <c:v>0.10946210978351056</c:v>
                </c:pt>
                <c:pt idx="152">
                  <c:v>0.10713222511172316</c:v>
                </c:pt>
                <c:pt idx="153">
                  <c:v>0.10713222511172316</c:v>
                </c:pt>
                <c:pt idx="154">
                  <c:v>0.10448618012882716</c:v>
                </c:pt>
                <c:pt idx="155">
                  <c:v>0.1004190632433809</c:v>
                </c:pt>
                <c:pt idx="156">
                  <c:v>9.754343740236493E-2</c:v>
                </c:pt>
                <c:pt idx="157">
                  <c:v>9.1396577025743997E-2</c:v>
                </c:pt>
                <c:pt idx="158">
                  <c:v>8.5307917036662184E-2</c:v>
                </c:pt>
                <c:pt idx="159">
                  <c:v>7.3710352615775965E-2</c:v>
                </c:pt>
                <c:pt idx="160">
                  <c:v>7.2350709935919078E-2</c:v>
                </c:pt>
                <c:pt idx="161">
                  <c:v>6.6654900008257134E-2</c:v>
                </c:pt>
                <c:pt idx="162">
                  <c:v>6.729850192162723E-2</c:v>
                </c:pt>
                <c:pt idx="163">
                  <c:v>8.2972799706807265E-2</c:v>
                </c:pt>
                <c:pt idx="164">
                  <c:v>7.7781052212061996E-2</c:v>
                </c:pt>
                <c:pt idx="165">
                  <c:v>8.7097606211065659E-2</c:v>
                </c:pt>
                <c:pt idx="166">
                  <c:v>8.7929121565513357E-2</c:v>
                </c:pt>
                <c:pt idx="167">
                  <c:v>9.2934298619482214E-2</c:v>
                </c:pt>
                <c:pt idx="168">
                  <c:v>9.4992091930067857E-2</c:v>
                </c:pt>
                <c:pt idx="169">
                  <c:v>8.0551695114641664E-2</c:v>
                </c:pt>
                <c:pt idx="170">
                  <c:v>8.132353705384332E-2</c:v>
                </c:pt>
                <c:pt idx="171">
                  <c:v>8.132353705384332E-2</c:v>
                </c:pt>
                <c:pt idx="172">
                  <c:v>9.0943575212558248E-2</c:v>
                </c:pt>
                <c:pt idx="173">
                  <c:v>0.10991674845293165</c:v>
                </c:pt>
                <c:pt idx="174">
                  <c:v>0.10483736297246027</c:v>
                </c:pt>
                <c:pt idx="175">
                  <c:v>0.11100049022422009</c:v>
                </c:pt>
                <c:pt idx="176">
                  <c:v>0.11100049022422009</c:v>
                </c:pt>
                <c:pt idx="177">
                  <c:v>0.11519127663458983</c:v>
                </c:pt>
                <c:pt idx="178">
                  <c:v>0.1269465246754391</c:v>
                </c:pt>
                <c:pt idx="179">
                  <c:v>0.11210108351288062</c:v>
                </c:pt>
                <c:pt idx="180">
                  <c:v>0.1099976604392866</c:v>
                </c:pt>
                <c:pt idx="181">
                  <c:v>0.11769566099047213</c:v>
                </c:pt>
                <c:pt idx="182">
                  <c:v>0.10545871423310527</c:v>
                </c:pt>
                <c:pt idx="183">
                  <c:v>9.0955552408760965E-2</c:v>
                </c:pt>
                <c:pt idx="184">
                  <c:v>8.7003139495359649E-2</c:v>
                </c:pt>
                <c:pt idx="185">
                  <c:v>8.4032505689917159E-2</c:v>
                </c:pt>
                <c:pt idx="186">
                  <c:v>8.0640762402622079E-2</c:v>
                </c:pt>
                <c:pt idx="187">
                  <c:v>9.0973485499579843E-2</c:v>
                </c:pt>
                <c:pt idx="188">
                  <c:v>8.3728248190292121E-2</c:v>
                </c:pt>
                <c:pt idx="189">
                  <c:v>8.5395491615493868E-2</c:v>
                </c:pt>
                <c:pt idx="190">
                  <c:v>8.7016483349632745E-2</c:v>
                </c:pt>
                <c:pt idx="191">
                  <c:v>0.10385071745457264</c:v>
                </c:pt>
                <c:pt idx="192">
                  <c:v>9.3260992058747827E-2</c:v>
                </c:pt>
                <c:pt idx="193">
                  <c:v>8.732216210577548E-2</c:v>
                </c:pt>
                <c:pt idx="194">
                  <c:v>7.8321173588246418E-2</c:v>
                </c:pt>
                <c:pt idx="195">
                  <c:v>7.9072574193408851E-2</c:v>
                </c:pt>
                <c:pt idx="196">
                  <c:v>7.9072574193408851E-2</c:v>
                </c:pt>
                <c:pt idx="197">
                  <c:v>7.8313656486970307E-2</c:v>
                </c:pt>
                <c:pt idx="198">
                  <c:v>7.7561711900383079E-2</c:v>
                </c:pt>
                <c:pt idx="199">
                  <c:v>7.5831000710022689E-2</c:v>
                </c:pt>
                <c:pt idx="200">
                  <c:v>7.5831000710022689E-2</c:v>
                </c:pt>
                <c:pt idx="201">
                  <c:v>8.2887892805258101E-2</c:v>
                </c:pt>
                <c:pt idx="202">
                  <c:v>7.8767741639672817E-2</c:v>
                </c:pt>
                <c:pt idx="203">
                  <c:v>7.5571129819945293E-2</c:v>
                </c:pt>
                <c:pt idx="204">
                  <c:v>7.4844435810643484E-2</c:v>
                </c:pt>
                <c:pt idx="205">
                  <c:v>7.4124446028630442E-2</c:v>
                </c:pt>
                <c:pt idx="206">
                  <c:v>7.4124446028630442E-2</c:v>
                </c:pt>
                <c:pt idx="207">
                  <c:v>7.3411104200395316E-2</c:v>
                </c:pt>
                <c:pt idx="208">
                  <c:v>6.9477337559872177E-2</c:v>
                </c:pt>
                <c:pt idx="209">
                  <c:v>7.3329017328614965E-2</c:v>
                </c:pt>
                <c:pt idx="210">
                  <c:v>6.9791175265965233E-2</c:v>
                </c:pt>
                <c:pt idx="211">
                  <c:v>6.9791175265965233E-2</c:v>
                </c:pt>
                <c:pt idx="212">
                  <c:v>6.4983212288943326E-2</c:v>
                </c:pt>
                <c:pt idx="213">
                  <c:v>6.5611246488556429E-2</c:v>
                </c:pt>
                <c:pt idx="214">
                  <c:v>7.7464163628888305E-2</c:v>
                </c:pt>
                <c:pt idx="215">
                  <c:v>6.9245620186523249E-2</c:v>
                </c:pt>
                <c:pt idx="216">
                  <c:v>7.1730827728807345E-2</c:v>
                </c:pt>
                <c:pt idx="217">
                  <c:v>6.4099249030245331E-2</c:v>
                </c:pt>
                <c:pt idx="218">
                  <c:v>6.2283075589143477E-2</c:v>
                </c:pt>
                <c:pt idx="219">
                  <c:v>6.0664184863367887E-2</c:v>
                </c:pt>
                <c:pt idx="220">
                  <c:v>5.8932607441625873E-2</c:v>
                </c:pt>
                <c:pt idx="221">
                  <c:v>5.0687139886131605E-2</c:v>
                </c:pt>
                <c:pt idx="222">
                  <c:v>5.5429958278904179E-2</c:v>
                </c:pt>
                <c:pt idx="223">
                  <c:v>5.6795320845725139E-2</c:v>
                </c:pt>
                <c:pt idx="224">
                  <c:v>5.7346669983721954E-2</c:v>
                </c:pt>
                <c:pt idx="225">
                  <c:v>5.1203038098176168E-2</c:v>
                </c:pt>
                <c:pt idx="226">
                  <c:v>5.1701599042954238E-2</c:v>
                </c:pt>
                <c:pt idx="227">
                  <c:v>4.7965109123464522E-2</c:v>
                </c:pt>
                <c:pt idx="228">
                  <c:v>5.384274391635735E-2</c:v>
                </c:pt>
                <c:pt idx="229">
                  <c:v>4.4445765283257388E-2</c:v>
                </c:pt>
                <c:pt idx="230">
                  <c:v>4.7482306504593175E-2</c:v>
                </c:pt>
                <c:pt idx="231">
                  <c:v>5.4611152150920939E-2</c:v>
                </c:pt>
                <c:pt idx="232">
                  <c:v>5.1329248052841336E-2</c:v>
                </c:pt>
                <c:pt idx="233">
                  <c:v>5.364318627131992E-2</c:v>
                </c:pt>
                <c:pt idx="234">
                  <c:v>6.104721249462175E-2</c:v>
                </c:pt>
                <c:pt idx="235">
                  <c:v>0.110543718170524</c:v>
                </c:pt>
                <c:pt idx="236">
                  <c:v>8.8107734523789394E-2</c:v>
                </c:pt>
                <c:pt idx="237">
                  <c:v>8.7266277054442898E-2</c:v>
                </c:pt>
                <c:pt idx="238">
                  <c:v>0.10497144107110612</c:v>
                </c:pt>
                <c:pt idx="239">
                  <c:v>8.7831653003317967E-2</c:v>
                </c:pt>
                <c:pt idx="240">
                  <c:v>9.1428012307608664E-2</c:v>
                </c:pt>
                <c:pt idx="241">
                  <c:v>9.9658573943354423E-2</c:v>
                </c:pt>
                <c:pt idx="242">
                  <c:v>8.738984780632153E-2</c:v>
                </c:pt>
                <c:pt idx="243">
                  <c:v>6.9579999852380947E-2</c:v>
                </c:pt>
                <c:pt idx="244">
                  <c:v>7.5571839418682396E-2</c:v>
                </c:pt>
                <c:pt idx="245">
                  <c:v>7.0613167150119782E-2</c:v>
                </c:pt>
                <c:pt idx="246">
                  <c:v>6.668594043920073E-2</c:v>
                </c:pt>
                <c:pt idx="247">
                  <c:v>8.1274612695573789E-2</c:v>
                </c:pt>
                <c:pt idx="248">
                  <c:v>7.7834579932601677E-2</c:v>
                </c:pt>
                <c:pt idx="249">
                  <c:v>8.3859459902913325E-2</c:v>
                </c:pt>
                <c:pt idx="250">
                  <c:v>9.2643546037107338E-2</c:v>
                </c:pt>
                <c:pt idx="251">
                  <c:v>9.7338403056230094E-2</c:v>
                </c:pt>
                <c:pt idx="252">
                  <c:v>0.10941236456501124</c:v>
                </c:pt>
                <c:pt idx="253">
                  <c:v>8.6786429731090187E-2</c:v>
                </c:pt>
                <c:pt idx="254">
                  <c:v>7.8571238554968836E-2</c:v>
                </c:pt>
                <c:pt idx="255">
                  <c:v>8.0296223800009447E-2</c:v>
                </c:pt>
                <c:pt idx="256">
                  <c:v>8.2759453375263803E-2</c:v>
                </c:pt>
                <c:pt idx="257">
                  <c:v>8.2759453375263803E-2</c:v>
                </c:pt>
                <c:pt idx="258">
                  <c:v>9.6794706953427845E-2</c:v>
                </c:pt>
                <c:pt idx="259">
                  <c:v>0.10530667560965379</c:v>
                </c:pt>
                <c:pt idx="260">
                  <c:v>0.12207181954280066</c:v>
                </c:pt>
                <c:pt idx="261">
                  <c:v>0.11564958604611408</c:v>
                </c:pt>
                <c:pt idx="262">
                  <c:v>0.11456203441952761</c:v>
                </c:pt>
                <c:pt idx="263">
                  <c:v>0.13558589924819309</c:v>
                </c:pt>
                <c:pt idx="264">
                  <c:v>0.12620616183933842</c:v>
                </c:pt>
                <c:pt idx="265">
                  <c:v>0.1217673141471054</c:v>
                </c:pt>
                <c:pt idx="266">
                  <c:v>0.1217673141471054</c:v>
                </c:pt>
                <c:pt idx="267">
                  <c:v>0.13952040114088737</c:v>
                </c:pt>
                <c:pt idx="268">
                  <c:v>0.1476567418523167</c:v>
                </c:pt>
                <c:pt idx="269">
                  <c:v>0.13539693178631196</c:v>
                </c:pt>
                <c:pt idx="270">
                  <c:v>0.1302372795576483</c:v>
                </c:pt>
                <c:pt idx="271">
                  <c:v>0.11786755343938848</c:v>
                </c:pt>
                <c:pt idx="272">
                  <c:v>0.11786755343938848</c:v>
                </c:pt>
                <c:pt idx="273">
                  <c:v>9.6192858301035411E-2</c:v>
                </c:pt>
                <c:pt idx="274">
                  <c:v>9.7106500235032422E-2</c:v>
                </c:pt>
                <c:pt idx="275">
                  <c:v>8.9672078944129319E-2</c:v>
                </c:pt>
                <c:pt idx="276">
                  <c:v>9.3506106619011042E-2</c:v>
                </c:pt>
                <c:pt idx="277">
                  <c:v>8.3664006934677682E-2</c:v>
                </c:pt>
                <c:pt idx="278">
                  <c:v>8.3664006934677682E-2</c:v>
                </c:pt>
                <c:pt idx="279">
                  <c:v>7.4814700222438524E-2</c:v>
                </c:pt>
                <c:pt idx="280">
                  <c:v>7.5533856111735354E-2</c:v>
                </c:pt>
                <c:pt idx="281">
                  <c:v>8.3482932187826653E-2</c:v>
                </c:pt>
                <c:pt idx="282">
                  <c:v>8.7960980862517579E-2</c:v>
                </c:pt>
                <c:pt idx="283">
                  <c:v>0.10224278407501375</c:v>
                </c:pt>
                <c:pt idx="284">
                  <c:v>0.10751235494951572</c:v>
                </c:pt>
                <c:pt idx="285">
                  <c:v>0.10852691657377</c:v>
                </c:pt>
                <c:pt idx="286">
                  <c:v>9.6384291281757406E-2</c:v>
                </c:pt>
                <c:pt idx="287">
                  <c:v>9.233915791973335E-2</c:v>
                </c:pt>
                <c:pt idx="288">
                  <c:v>9.4719928359986105E-2</c:v>
                </c:pt>
                <c:pt idx="289">
                  <c:v>0.10193692687709177</c:v>
                </c:pt>
                <c:pt idx="290">
                  <c:v>0.10193692687709177</c:v>
                </c:pt>
                <c:pt idx="291">
                  <c:v>0.10290196030228327</c:v>
                </c:pt>
                <c:pt idx="292">
                  <c:v>0.10192727130222712</c:v>
                </c:pt>
                <c:pt idx="293">
                  <c:v>0.11649952748637415</c:v>
                </c:pt>
                <c:pt idx="294">
                  <c:v>0.12025826197128053</c:v>
                </c:pt>
                <c:pt idx="295">
                  <c:v>0.12240312253093177</c:v>
                </c:pt>
                <c:pt idx="296">
                  <c:v>0.1212565140827333</c:v>
                </c:pt>
                <c:pt idx="297">
                  <c:v>0.13272997868741632</c:v>
                </c:pt>
                <c:pt idx="298">
                  <c:v>0.23859044718960642</c:v>
                </c:pt>
                <c:pt idx="299">
                  <c:v>0.19712880227823071</c:v>
                </c:pt>
                <c:pt idx="300">
                  <c:v>0.32584609327098235</c:v>
                </c:pt>
                <c:pt idx="301">
                  <c:v>0.19201536802210684</c:v>
                </c:pt>
                <c:pt idx="302">
                  <c:v>0.190906336946983</c:v>
                </c:pt>
                <c:pt idx="303">
                  <c:v>0.21410684114490208</c:v>
                </c:pt>
                <c:pt idx="304">
                  <c:v>0.25313936589935837</c:v>
                </c:pt>
                <c:pt idx="305">
                  <c:v>0.19717171681283963</c:v>
                </c:pt>
                <c:pt idx="306">
                  <c:v>0.24268841760066506</c:v>
                </c:pt>
                <c:pt idx="307">
                  <c:v>0.23036183115789111</c:v>
                </c:pt>
                <c:pt idx="308">
                  <c:v>0.18828798852936579</c:v>
                </c:pt>
                <c:pt idx="309">
                  <c:v>0.18997953328040906</c:v>
                </c:pt>
                <c:pt idx="310">
                  <c:v>0.18640826140455458</c:v>
                </c:pt>
                <c:pt idx="311">
                  <c:v>0.19108530677499724</c:v>
                </c:pt>
                <c:pt idx="312">
                  <c:v>0.20140951870222334</c:v>
                </c:pt>
                <c:pt idx="313">
                  <c:v>0.21335630676012896</c:v>
                </c:pt>
                <c:pt idx="314">
                  <c:v>0.2189505778178864</c:v>
                </c:pt>
                <c:pt idx="315">
                  <c:v>0.22585789674676071</c:v>
                </c:pt>
                <c:pt idx="316">
                  <c:v>0.25131262776565144</c:v>
                </c:pt>
                <c:pt idx="317">
                  <c:v>0.2701883174545171</c:v>
                </c:pt>
                <c:pt idx="318">
                  <c:v>0.27115770847499887</c:v>
                </c:pt>
                <c:pt idx="319">
                  <c:v>0.27996353920772987</c:v>
                </c:pt>
                <c:pt idx="320">
                  <c:v>0.2534730427659172</c:v>
                </c:pt>
                <c:pt idx="321">
                  <c:v>0.24612511325279296</c:v>
                </c:pt>
                <c:pt idx="322">
                  <c:v>0.22873010605187172</c:v>
                </c:pt>
                <c:pt idx="323">
                  <c:v>0.20670538024086715</c:v>
                </c:pt>
                <c:pt idx="324">
                  <c:v>0.1956713829013661</c:v>
                </c:pt>
                <c:pt idx="325">
                  <c:v>0.18914357333430309</c:v>
                </c:pt>
                <c:pt idx="326">
                  <c:v>0.18831208343978212</c:v>
                </c:pt>
                <c:pt idx="327">
                  <c:v>0.18378820452968081</c:v>
                </c:pt>
                <c:pt idx="328">
                  <c:v>0.14896583672284536</c:v>
                </c:pt>
                <c:pt idx="329">
                  <c:v>0.15746530542931814</c:v>
                </c:pt>
                <c:pt idx="330">
                  <c:v>0.14715853035127047</c:v>
                </c:pt>
                <c:pt idx="331">
                  <c:v>0.13771520412607541</c:v>
                </c:pt>
                <c:pt idx="332">
                  <c:v>0.12789808723565166</c:v>
                </c:pt>
                <c:pt idx="333">
                  <c:v>0.13011546419097597</c:v>
                </c:pt>
                <c:pt idx="334">
                  <c:v>0.14022617667494452</c:v>
                </c:pt>
                <c:pt idx="335">
                  <c:v>0.13350690500048623</c:v>
                </c:pt>
                <c:pt idx="336">
                  <c:v>0.12896978798700243</c:v>
                </c:pt>
                <c:pt idx="337">
                  <c:v>0.14063992236800771</c:v>
                </c:pt>
                <c:pt idx="338">
                  <c:v>0.12980367241860569</c:v>
                </c:pt>
                <c:pt idx="339">
                  <c:v>0.11389428564345727</c:v>
                </c:pt>
                <c:pt idx="340">
                  <c:v>0.10869662041521233</c:v>
                </c:pt>
                <c:pt idx="341">
                  <c:v>9.2511962850245211E-2</c:v>
                </c:pt>
                <c:pt idx="342">
                  <c:v>0.10376398024580624</c:v>
                </c:pt>
                <c:pt idx="343">
                  <c:v>0.10031275763004577</c:v>
                </c:pt>
                <c:pt idx="344">
                  <c:v>0.10405658168204335</c:v>
                </c:pt>
                <c:pt idx="345">
                  <c:v>0.10307159577637026</c:v>
                </c:pt>
                <c:pt idx="346">
                  <c:v>9.8266660810899964E-2</c:v>
                </c:pt>
                <c:pt idx="347">
                  <c:v>9.2147153369562695E-2</c:v>
                </c:pt>
                <c:pt idx="348">
                  <c:v>0.10175013576596925</c:v>
                </c:pt>
                <c:pt idx="349">
                  <c:v>0.10271350381177602</c:v>
                </c:pt>
                <c:pt idx="350">
                  <c:v>9.0471266901901548E-2</c:v>
                </c:pt>
                <c:pt idx="351">
                  <c:v>9.3716853246801568E-2</c:v>
                </c:pt>
                <c:pt idx="352">
                  <c:v>0.10149669014544294</c:v>
                </c:pt>
                <c:pt idx="353">
                  <c:v>0.10633844603850728</c:v>
                </c:pt>
                <c:pt idx="354">
                  <c:v>9.9898695244025948E-2</c:v>
                </c:pt>
                <c:pt idx="355">
                  <c:v>9.5157392710110367E-2</c:v>
                </c:pt>
                <c:pt idx="356">
                  <c:v>9.5157392710110367E-2</c:v>
                </c:pt>
                <c:pt idx="357">
                  <c:v>9.7502202846457386E-2</c:v>
                </c:pt>
                <c:pt idx="358">
                  <c:v>9.2654729001045766E-2</c:v>
                </c:pt>
                <c:pt idx="359">
                  <c:v>9.504581466800055E-2</c:v>
                </c:pt>
                <c:pt idx="360">
                  <c:v>9.4141576770590651E-2</c:v>
                </c:pt>
                <c:pt idx="361">
                  <c:v>9.0780142233192085E-2</c:v>
                </c:pt>
                <c:pt idx="362">
                  <c:v>9.164502012596798E-2</c:v>
                </c:pt>
                <c:pt idx="363">
                  <c:v>8.4588801392862067E-2</c:v>
                </c:pt>
                <c:pt idx="364">
                  <c:v>9.242776723430568E-2</c:v>
                </c:pt>
                <c:pt idx="365">
                  <c:v>0.10095462306850234</c:v>
                </c:pt>
                <c:pt idx="366">
                  <c:v>0.10658852015049658</c:v>
                </c:pt>
                <c:pt idx="367">
                  <c:v>0.1118861232038777</c:v>
                </c:pt>
                <c:pt idx="368">
                  <c:v>0.10593976710638175</c:v>
                </c:pt>
                <c:pt idx="369">
                  <c:v>0.10120477341521372</c:v>
                </c:pt>
                <c:pt idx="370">
                  <c:v>0.100245246646262</c:v>
                </c:pt>
                <c:pt idx="371">
                  <c:v>9.3257982285455454E-2</c:v>
                </c:pt>
                <c:pt idx="372">
                  <c:v>8.8261180090870806E-2</c:v>
                </c:pt>
                <c:pt idx="373">
                  <c:v>8.9103253260876758E-2</c:v>
                </c:pt>
                <c:pt idx="374">
                  <c:v>9.7065073565595572E-2</c:v>
                </c:pt>
                <c:pt idx="375">
                  <c:v>9.2841591698559989E-2</c:v>
                </c:pt>
                <c:pt idx="376">
                  <c:v>8.9743275785733156E-2</c:v>
                </c:pt>
                <c:pt idx="377">
                  <c:v>8.3724440738540906E-2</c:v>
                </c:pt>
                <c:pt idx="378">
                  <c:v>8.5422549211673471E-2</c:v>
                </c:pt>
                <c:pt idx="379">
                  <c:v>9.3254163746139707E-2</c:v>
                </c:pt>
                <c:pt idx="380">
                  <c:v>0.11496450905719169</c:v>
                </c:pt>
                <c:pt idx="381">
                  <c:v>9.9945516318683203E-2</c:v>
                </c:pt>
                <c:pt idx="382">
                  <c:v>0.11340768753511121</c:v>
                </c:pt>
                <c:pt idx="383">
                  <c:v>0.10328290318309008</c:v>
                </c:pt>
                <c:pt idx="384">
                  <c:v>0.10723022787875036</c:v>
                </c:pt>
                <c:pt idx="385">
                  <c:v>0.10347491090776506</c:v>
                </c:pt>
                <c:pt idx="386">
                  <c:v>9.3998774090644388E-2</c:v>
                </c:pt>
                <c:pt idx="387">
                  <c:v>9.4892688471857944E-2</c:v>
                </c:pt>
                <c:pt idx="388">
                  <c:v>9.7628689319718354E-2</c:v>
                </c:pt>
                <c:pt idx="389">
                  <c:v>8.9405510797404442E-2</c:v>
                </c:pt>
                <c:pt idx="390">
                  <c:v>8.7061564268183345E-2</c:v>
                </c:pt>
                <c:pt idx="391">
                  <c:v>8.1762807985593877E-2</c:v>
                </c:pt>
                <c:pt idx="392">
                  <c:v>7.9570748879429609E-2</c:v>
                </c:pt>
                <c:pt idx="393">
                  <c:v>7.7049599955288706E-2</c:v>
                </c:pt>
                <c:pt idx="394">
                  <c:v>7.8607508241099855E-2</c:v>
                </c:pt>
                <c:pt idx="395">
                  <c:v>7.8607508241099855E-2</c:v>
                </c:pt>
                <c:pt idx="396">
                  <c:v>8.4963951159131024E-2</c:v>
                </c:pt>
                <c:pt idx="397">
                  <c:v>7.9331865639267862E-2</c:v>
                </c:pt>
                <c:pt idx="398">
                  <c:v>8.3555979251817236E-2</c:v>
                </c:pt>
                <c:pt idx="399">
                  <c:v>8.1091727647362055E-2</c:v>
                </c:pt>
                <c:pt idx="400">
                  <c:v>7.9204880076213402E-2</c:v>
                </c:pt>
                <c:pt idx="401">
                  <c:v>7.3912144241736089E-2</c:v>
                </c:pt>
                <c:pt idx="402">
                  <c:v>6.5187865331880479E-2</c:v>
                </c:pt>
                <c:pt idx="403">
                  <c:v>6.4557498879433517E-2</c:v>
                </c:pt>
                <c:pt idx="404">
                  <c:v>6.5181563770518536E-2</c:v>
                </c:pt>
                <c:pt idx="405">
                  <c:v>6.5811446711117716E-2</c:v>
                </c:pt>
                <c:pt idx="406">
                  <c:v>6.1377969975003999E-2</c:v>
                </c:pt>
                <c:pt idx="407">
                  <c:v>6.7603971775319183E-2</c:v>
                </c:pt>
                <c:pt idx="408">
                  <c:v>7.0240310307234766E-2</c:v>
                </c:pt>
                <c:pt idx="409">
                  <c:v>7.4244287636655693E-2</c:v>
                </c:pt>
                <c:pt idx="410">
                  <c:v>6.8787683401842381E-2</c:v>
                </c:pt>
                <c:pt idx="411">
                  <c:v>7.263153257057664E-2</c:v>
                </c:pt>
                <c:pt idx="412">
                  <c:v>7.4348229704641944E-2</c:v>
                </c:pt>
                <c:pt idx="413">
                  <c:v>7.4348229704641944E-2</c:v>
                </c:pt>
                <c:pt idx="414">
                  <c:v>7.2657447260529806E-2</c:v>
                </c:pt>
                <c:pt idx="415">
                  <c:v>7.2657447260529806E-2</c:v>
                </c:pt>
                <c:pt idx="416">
                  <c:v>6.9678205765997814E-2</c:v>
                </c:pt>
                <c:pt idx="417">
                  <c:v>7.1199576396540731E-2</c:v>
                </c:pt>
                <c:pt idx="418">
                  <c:v>7.8715277637098402E-2</c:v>
                </c:pt>
                <c:pt idx="419">
                  <c:v>7.3912913677124492E-2</c:v>
                </c:pt>
                <c:pt idx="420">
                  <c:v>7.9864479786649567E-2</c:v>
                </c:pt>
                <c:pt idx="421">
                  <c:v>7.5576279774363875E-2</c:v>
                </c:pt>
                <c:pt idx="422">
                  <c:v>7.7155358575571209E-2</c:v>
                </c:pt>
                <c:pt idx="423">
                  <c:v>7.4515945640522108E-2</c:v>
                </c:pt>
                <c:pt idx="424">
                  <c:v>7.4515945640522108E-2</c:v>
                </c:pt>
                <c:pt idx="425">
                  <c:v>7.5232348044454889E-2</c:v>
                </c:pt>
                <c:pt idx="426">
                  <c:v>7.3468782781746955E-2</c:v>
                </c:pt>
                <c:pt idx="427">
                  <c:v>6.9725351001151625E-2</c:v>
                </c:pt>
                <c:pt idx="428">
                  <c:v>6.5988845202034629E-2</c:v>
                </c:pt>
                <c:pt idx="429">
                  <c:v>6.4639179736828312E-2</c:v>
                </c:pt>
                <c:pt idx="430">
                  <c:v>6.5264006363548344E-2</c:v>
                </c:pt>
                <c:pt idx="431">
                  <c:v>6.5264006363548344E-2</c:v>
                </c:pt>
                <c:pt idx="432">
                  <c:v>6.5264006363548344E-2</c:v>
                </c:pt>
                <c:pt idx="433">
                  <c:v>6.5264006363548344E-2</c:v>
                </c:pt>
                <c:pt idx="434">
                  <c:v>6.5264006363548344E-2</c:v>
                </c:pt>
                <c:pt idx="435">
                  <c:v>6.8014815010181806E-2</c:v>
                </c:pt>
                <c:pt idx="436">
                  <c:v>6.6410552367491493E-2</c:v>
                </c:pt>
                <c:pt idx="437">
                  <c:v>6.8860658347127623E-2</c:v>
                </c:pt>
                <c:pt idx="438">
                  <c:v>7.151688940876888E-2</c:v>
                </c:pt>
                <c:pt idx="439">
                  <c:v>7.4134735467486279E-2</c:v>
                </c:pt>
                <c:pt idx="440">
                  <c:v>6.943202767332568E-2</c:v>
                </c:pt>
                <c:pt idx="441">
                  <c:v>6.8762148511652299E-2</c:v>
                </c:pt>
                <c:pt idx="442">
                  <c:v>7.4016847169406041E-2</c:v>
                </c:pt>
                <c:pt idx="443">
                  <c:v>7.105695436397963E-2</c:v>
                </c:pt>
                <c:pt idx="444">
                  <c:v>7.1741406025118581E-2</c:v>
                </c:pt>
                <c:pt idx="445">
                  <c:v>8.2056835763590685E-2</c:v>
                </c:pt>
                <c:pt idx="446">
                  <c:v>9.8354447054248895E-2</c:v>
                </c:pt>
                <c:pt idx="447">
                  <c:v>9.1879126386023469E-2</c:v>
                </c:pt>
                <c:pt idx="448">
                  <c:v>0.10313477846389429</c:v>
                </c:pt>
                <c:pt idx="449">
                  <c:v>9.5194292742874609E-2</c:v>
                </c:pt>
                <c:pt idx="450">
                  <c:v>0.10679436030292222</c:v>
                </c:pt>
                <c:pt idx="451">
                  <c:v>0.10198515371715966</c:v>
                </c:pt>
                <c:pt idx="452">
                  <c:v>0.13287922569863408</c:v>
                </c:pt>
                <c:pt idx="453">
                  <c:v>0.12650977301344957</c:v>
                </c:pt>
                <c:pt idx="454">
                  <c:v>0.11828450974107252</c:v>
                </c:pt>
                <c:pt idx="455">
                  <c:v>9.9566273855542176E-2</c:v>
                </c:pt>
                <c:pt idx="456">
                  <c:v>0.102865010167559</c:v>
                </c:pt>
                <c:pt idx="457">
                  <c:v>8.82992037830298E-2</c:v>
                </c:pt>
                <c:pt idx="458">
                  <c:v>9.1224236943682313E-2</c:v>
                </c:pt>
                <c:pt idx="459">
                  <c:v>0.10202576837111543</c:v>
                </c:pt>
                <c:pt idx="460">
                  <c:v>0.11078334081341812</c:v>
                </c:pt>
                <c:pt idx="461">
                  <c:v>0.12182439650365973</c:v>
                </c:pt>
                <c:pt idx="462">
                  <c:v>9.8837096066206054E-2</c:v>
                </c:pt>
                <c:pt idx="463">
                  <c:v>9.3471497323277974E-2</c:v>
                </c:pt>
                <c:pt idx="464">
                  <c:v>0.10015958338466813</c:v>
                </c:pt>
                <c:pt idx="465">
                  <c:v>9.7432239184745306E-2</c:v>
                </c:pt>
                <c:pt idx="466">
                  <c:v>9.9416862152311936E-2</c:v>
                </c:pt>
                <c:pt idx="467">
                  <c:v>9.847334247488404E-2</c:v>
                </c:pt>
                <c:pt idx="468">
                  <c:v>9.847334247488404E-2</c:v>
                </c:pt>
                <c:pt idx="469">
                  <c:v>9.2592710367446318E-2</c:v>
                </c:pt>
                <c:pt idx="470">
                  <c:v>8.8509035566995187E-2</c:v>
                </c:pt>
                <c:pt idx="471">
                  <c:v>8.4150167530363196E-2</c:v>
                </c:pt>
                <c:pt idx="472">
                  <c:v>8.4150167530363196E-2</c:v>
                </c:pt>
                <c:pt idx="473">
                  <c:v>8.2528091610569954E-2</c:v>
                </c:pt>
                <c:pt idx="474">
                  <c:v>8.173750219101672E-2</c:v>
                </c:pt>
                <c:pt idx="475">
                  <c:v>7.8168375744685714E-2</c:v>
                </c:pt>
                <c:pt idx="476">
                  <c:v>7.5217176159310006E-2</c:v>
                </c:pt>
                <c:pt idx="477">
                  <c:v>6.9746854634683886E-2</c:v>
                </c:pt>
                <c:pt idx="478">
                  <c:v>7.0419170922557561E-2</c:v>
                </c:pt>
                <c:pt idx="479">
                  <c:v>7.1097717162589946E-2</c:v>
                </c:pt>
                <c:pt idx="480">
                  <c:v>7.4577104356441493E-2</c:v>
                </c:pt>
                <c:pt idx="481">
                  <c:v>7.6332648857211804E-2</c:v>
                </c:pt>
                <c:pt idx="482">
                  <c:v>7.4403454469166852E-2</c:v>
                </c:pt>
                <c:pt idx="483">
                  <c:v>7.1270203763203033E-2</c:v>
                </c:pt>
                <c:pt idx="484">
                  <c:v>7.1270203763203033E-2</c:v>
                </c:pt>
                <c:pt idx="485">
                  <c:v>7.8091455237628393E-2</c:v>
                </c:pt>
                <c:pt idx="486">
                  <c:v>9.2908708022543807E-2</c:v>
                </c:pt>
                <c:pt idx="487">
                  <c:v>9.6748941110122666E-2</c:v>
                </c:pt>
                <c:pt idx="488">
                  <c:v>0.1049838942289727</c:v>
                </c:pt>
                <c:pt idx="489">
                  <c:v>9.6267067592343492E-2</c:v>
                </c:pt>
                <c:pt idx="490">
                  <c:v>8.975984223494482E-2</c:v>
                </c:pt>
                <c:pt idx="491">
                  <c:v>9.0615491599520426E-2</c:v>
                </c:pt>
                <c:pt idx="492">
                  <c:v>9.1478881022492353E-2</c:v>
                </c:pt>
                <c:pt idx="493">
                  <c:v>8.8427128158747537E-2</c:v>
                </c:pt>
                <c:pt idx="494">
                  <c:v>8.1583915228647497E-2</c:v>
                </c:pt>
                <c:pt idx="495">
                  <c:v>8.1583915228647497E-2</c:v>
                </c:pt>
                <c:pt idx="496">
                  <c:v>7.9873813687552642E-2</c:v>
                </c:pt>
                <c:pt idx="497">
                  <c:v>7.5388906084135732E-2</c:v>
                </c:pt>
                <c:pt idx="498">
                  <c:v>7.5388906084135732E-2</c:v>
                </c:pt>
                <c:pt idx="499">
                  <c:v>7.466389267641349E-2</c:v>
                </c:pt>
                <c:pt idx="500">
                  <c:v>7.466389267641349E-2</c:v>
                </c:pt>
                <c:pt idx="501">
                  <c:v>7.466389267641349E-2</c:v>
                </c:pt>
                <c:pt idx="502">
                  <c:v>6.8147101362754703E-2</c:v>
                </c:pt>
                <c:pt idx="503">
                  <c:v>5.8333700216100071E-2</c:v>
                </c:pt>
                <c:pt idx="504">
                  <c:v>6.2510520224367094E-2</c:v>
                </c:pt>
                <c:pt idx="505">
                  <c:v>6.7503256783486232E-2</c:v>
                </c:pt>
                <c:pt idx="506">
                  <c:v>6.6851310558312282E-2</c:v>
                </c:pt>
                <c:pt idx="507">
                  <c:v>6.6851310558312282E-2</c:v>
                </c:pt>
                <c:pt idx="508">
                  <c:v>6.6851310558312282E-2</c:v>
                </c:pt>
                <c:pt idx="509">
                  <c:v>6.5285774614087799E-2</c:v>
                </c:pt>
                <c:pt idx="510">
                  <c:v>6.5285774614087799E-2</c:v>
                </c:pt>
                <c:pt idx="511">
                  <c:v>6.4654494481988678E-2</c:v>
                </c:pt>
                <c:pt idx="512">
                  <c:v>6.8215597373507575E-2</c:v>
                </c:pt>
                <c:pt idx="513">
                  <c:v>6.5082749473748591E-2</c:v>
                </c:pt>
                <c:pt idx="514">
                  <c:v>6.5082749473748591E-2</c:v>
                </c:pt>
                <c:pt idx="515">
                  <c:v>6.5082749473748591E-2</c:v>
                </c:pt>
                <c:pt idx="516">
                  <c:v>6.1907196879427584E-2</c:v>
                </c:pt>
                <c:pt idx="517">
                  <c:v>6.1907196879427584E-2</c:v>
                </c:pt>
                <c:pt idx="518">
                  <c:v>6.3183808026118782E-2</c:v>
                </c:pt>
                <c:pt idx="519">
                  <c:v>5.8872572293787395E-2</c:v>
                </c:pt>
                <c:pt idx="520">
                  <c:v>6.2658729745843633E-2</c:v>
                </c:pt>
                <c:pt idx="521">
                  <c:v>6.0459743376823138E-2</c:v>
                </c:pt>
                <c:pt idx="522">
                  <c:v>5.8721461614779535E-2</c:v>
                </c:pt>
                <c:pt idx="523">
                  <c:v>6.3128715073066499E-2</c:v>
                </c:pt>
                <c:pt idx="524">
                  <c:v>6.3128715073066499E-2</c:v>
                </c:pt>
                <c:pt idx="525">
                  <c:v>6.3128715073066499E-2</c:v>
                </c:pt>
                <c:pt idx="526">
                  <c:v>6.5004115201451884E-2</c:v>
                </c:pt>
                <c:pt idx="527">
                  <c:v>6.5004115201451884E-2</c:v>
                </c:pt>
                <c:pt idx="528">
                  <c:v>6.1272368244360109E-2</c:v>
                </c:pt>
                <c:pt idx="529">
                  <c:v>5.9016151014137375E-2</c:v>
                </c:pt>
                <c:pt idx="530">
                  <c:v>6.2158329789082867E-2</c:v>
                </c:pt>
                <c:pt idx="531">
                  <c:v>6.3885974244416111E-2</c:v>
                </c:pt>
                <c:pt idx="532">
                  <c:v>6.4503773933361597E-2</c:v>
                </c:pt>
                <c:pt idx="533">
                  <c:v>5.5570515193356429E-2</c:v>
                </c:pt>
                <c:pt idx="534">
                  <c:v>5.9966843733094022E-2</c:v>
                </c:pt>
                <c:pt idx="535">
                  <c:v>5.5996049355110267E-2</c:v>
                </c:pt>
                <c:pt idx="536">
                  <c:v>5.0977649764151423E-2</c:v>
                </c:pt>
                <c:pt idx="537">
                  <c:v>4.9668236153563416E-2</c:v>
                </c:pt>
                <c:pt idx="538">
                  <c:v>5.4978863033797953E-2</c:v>
                </c:pt>
                <c:pt idx="539">
                  <c:v>6.0838913042908671E-2</c:v>
                </c:pt>
                <c:pt idx="540">
                  <c:v>6.8966200838676106E-2</c:v>
                </c:pt>
                <c:pt idx="541">
                  <c:v>8.0319690970127589E-2</c:v>
                </c:pt>
                <c:pt idx="542">
                  <c:v>7.7681547625721104E-2</c:v>
                </c:pt>
                <c:pt idx="543">
                  <c:v>0.10738196487970986</c:v>
                </c:pt>
                <c:pt idx="544">
                  <c:v>9.018527188536507E-2</c:v>
                </c:pt>
                <c:pt idx="545">
                  <c:v>9.8835212916616566E-2</c:v>
                </c:pt>
                <c:pt idx="546">
                  <c:v>8.7083530973972034E-2</c:v>
                </c:pt>
                <c:pt idx="547">
                  <c:v>7.6863784486084663E-2</c:v>
                </c:pt>
                <c:pt idx="548">
                  <c:v>8.2194638609503601E-2</c:v>
                </c:pt>
                <c:pt idx="549">
                  <c:v>8.1407099855827281E-2</c:v>
                </c:pt>
                <c:pt idx="550">
                  <c:v>8.1407099855827281E-2</c:v>
                </c:pt>
                <c:pt idx="551">
                  <c:v>8.3824868360355742E-2</c:v>
                </c:pt>
                <c:pt idx="552">
                  <c:v>8.3824868360355742E-2</c:v>
                </c:pt>
                <c:pt idx="553">
                  <c:v>8.8833540508091113E-2</c:v>
                </c:pt>
                <c:pt idx="554">
                  <c:v>8.6183985152389564E-2</c:v>
                </c:pt>
                <c:pt idx="555">
                  <c:v>7.8047644267228433E-2</c:v>
                </c:pt>
                <c:pt idx="556">
                  <c:v>7.3110483714588059E-2</c:v>
                </c:pt>
                <c:pt idx="557">
                  <c:v>8.4960863915358509E-2</c:v>
                </c:pt>
                <c:pt idx="558">
                  <c:v>8.3021244446515041E-2</c:v>
                </c:pt>
                <c:pt idx="559">
                  <c:v>7.8219942326972158E-2</c:v>
                </c:pt>
                <c:pt idx="560">
                  <c:v>7.6748064044770192E-2</c:v>
                </c:pt>
                <c:pt idx="561">
                  <c:v>8.016627837842405E-2</c:v>
                </c:pt>
                <c:pt idx="562">
                  <c:v>8.1868523918152469E-2</c:v>
                </c:pt>
                <c:pt idx="563">
                  <c:v>8.4469413677979999E-2</c:v>
                </c:pt>
                <c:pt idx="564">
                  <c:v>8.0108316407631941E-2</c:v>
                </c:pt>
                <c:pt idx="565">
                  <c:v>8.0876099402699797E-2</c:v>
                </c:pt>
                <c:pt idx="566">
                  <c:v>8.2537207001166069E-2</c:v>
                </c:pt>
                <c:pt idx="567">
                  <c:v>7.875763818151682E-2</c:v>
                </c:pt>
                <c:pt idx="568">
                  <c:v>7.5564749238273388E-2</c:v>
                </c:pt>
                <c:pt idx="569">
                  <c:v>7.8852429038251737E-2</c:v>
                </c:pt>
                <c:pt idx="570">
                  <c:v>7.8852429038251737E-2</c:v>
                </c:pt>
                <c:pt idx="571">
                  <c:v>7.6852527923284009E-2</c:v>
                </c:pt>
                <c:pt idx="572">
                  <c:v>8.0241444207859058E-2</c:v>
                </c:pt>
                <c:pt idx="573">
                  <c:v>7.6601299003833723E-2</c:v>
                </c:pt>
                <c:pt idx="574">
                  <c:v>8.7439117251481457E-2</c:v>
                </c:pt>
                <c:pt idx="575">
                  <c:v>8.4120495867098466E-2</c:v>
                </c:pt>
                <c:pt idx="576">
                  <c:v>7.8376529454583066E-2</c:v>
                </c:pt>
                <c:pt idx="577">
                  <c:v>7.8376529454583066E-2</c:v>
                </c:pt>
                <c:pt idx="578">
                  <c:v>7.7624006940636425E-2</c:v>
                </c:pt>
                <c:pt idx="579">
                  <c:v>7.3946898573003739E-2</c:v>
                </c:pt>
                <c:pt idx="580">
                  <c:v>7.0401716933474301E-2</c:v>
                </c:pt>
                <c:pt idx="581">
                  <c:v>7.3833979922035553E-2</c:v>
                </c:pt>
                <c:pt idx="582">
                  <c:v>7.3123321654207096E-2</c:v>
                </c:pt>
                <c:pt idx="583">
                  <c:v>6.9154947064488326E-2</c:v>
                </c:pt>
                <c:pt idx="584">
                  <c:v>6.7166856676815656E-2</c:v>
                </c:pt>
                <c:pt idx="585">
                  <c:v>6.5414848810977921E-2</c:v>
                </c:pt>
                <c:pt idx="586">
                  <c:v>6.5414848810977921E-2</c:v>
                </c:pt>
                <c:pt idx="587">
                  <c:v>6.5414848810977921E-2</c:v>
                </c:pt>
                <c:pt idx="588">
                  <c:v>6.2491764818353168E-2</c:v>
                </c:pt>
                <c:pt idx="589">
                  <c:v>5.8375093964853408E-2</c:v>
                </c:pt>
                <c:pt idx="590">
                  <c:v>5.8941294783377285E-2</c:v>
                </c:pt>
                <c:pt idx="591">
                  <c:v>5.6171194311925743E-2</c:v>
                </c:pt>
                <c:pt idx="592">
                  <c:v>5.4291355718050549E-2</c:v>
                </c:pt>
                <c:pt idx="593">
                  <c:v>5.0251081495583327E-2</c:v>
                </c:pt>
                <c:pt idx="594">
                  <c:v>5.0251081495583327E-2</c:v>
                </c:pt>
                <c:pt idx="595">
                  <c:v>5.0251081495583327E-2</c:v>
                </c:pt>
                <c:pt idx="596">
                  <c:v>5.0740623278517361E-2</c:v>
                </c:pt>
                <c:pt idx="597">
                  <c:v>5.3343027687789979E-2</c:v>
                </c:pt>
                <c:pt idx="598">
                  <c:v>5.3343027687789979E-2</c:v>
                </c:pt>
                <c:pt idx="599">
                  <c:v>5.7787130219837168E-2</c:v>
                </c:pt>
                <c:pt idx="600">
                  <c:v>5.5457103387149154E-2</c:v>
                </c:pt>
                <c:pt idx="601">
                  <c:v>6.1366453382916242E-2</c:v>
                </c:pt>
                <c:pt idx="602">
                  <c:v>6.1366453382916242E-2</c:v>
                </c:pt>
                <c:pt idx="603">
                  <c:v>5.220489398972783E-2</c:v>
                </c:pt>
                <c:pt idx="604">
                  <c:v>5.1696579063617909E-2</c:v>
                </c:pt>
                <c:pt idx="605">
                  <c:v>5.1696579063617909E-2</c:v>
                </c:pt>
                <c:pt idx="606">
                  <c:v>5.2963327078278111E-2</c:v>
                </c:pt>
                <c:pt idx="607">
                  <c:v>6.1293145847956754E-2</c:v>
                </c:pt>
                <c:pt idx="608">
                  <c:v>5.6756652599174506E-2</c:v>
                </c:pt>
                <c:pt idx="609">
                  <c:v>6.2373728685762075E-2</c:v>
                </c:pt>
                <c:pt idx="610">
                  <c:v>6.6100641904239477E-2</c:v>
                </c:pt>
                <c:pt idx="611">
                  <c:v>6.431919071308434E-2</c:v>
                </c:pt>
                <c:pt idx="612">
                  <c:v>6.431919071308434E-2</c:v>
                </c:pt>
                <c:pt idx="613">
                  <c:v>6.0645623136146187E-2</c:v>
                </c:pt>
                <c:pt idx="614">
                  <c:v>5.7551146358432725E-2</c:v>
                </c:pt>
                <c:pt idx="615">
                  <c:v>6.2875000041536566E-2</c:v>
                </c:pt>
                <c:pt idx="616">
                  <c:v>6.756175564870559E-2</c:v>
                </c:pt>
                <c:pt idx="617">
                  <c:v>6.756175564870559E-2</c:v>
                </c:pt>
                <c:pt idx="618">
                  <c:v>6.4420200577474995E-2</c:v>
                </c:pt>
                <c:pt idx="619">
                  <c:v>7.4248929187267554E-2</c:v>
                </c:pt>
                <c:pt idx="620">
                  <c:v>0.10505239431778401</c:v>
                </c:pt>
                <c:pt idx="621">
                  <c:v>8.0835519671746736E-2</c:v>
                </c:pt>
                <c:pt idx="622">
                  <c:v>8.3614811152254553E-2</c:v>
                </c:pt>
                <c:pt idx="623">
                  <c:v>9.2250617787730915E-2</c:v>
                </c:pt>
                <c:pt idx="624">
                  <c:v>0.10450615300741162</c:v>
                </c:pt>
                <c:pt idx="625">
                  <c:v>0.10905178845197239</c:v>
                </c:pt>
                <c:pt idx="626">
                  <c:v>0.10802242548195629</c:v>
                </c:pt>
                <c:pt idx="627">
                  <c:v>0.10700218464452127</c:v>
                </c:pt>
                <c:pt idx="628">
                  <c:v>9.2480374031391421E-2</c:v>
                </c:pt>
                <c:pt idx="629">
                  <c:v>9.1599288766035958E-2</c:v>
                </c:pt>
                <c:pt idx="630">
                  <c:v>9.1599288766035958E-2</c:v>
                </c:pt>
                <c:pt idx="631">
                  <c:v>8.6412770594249122E-2</c:v>
                </c:pt>
                <c:pt idx="632">
                  <c:v>9.6432036401427945E-2</c:v>
                </c:pt>
                <c:pt idx="633">
                  <c:v>0.10862966389787132</c:v>
                </c:pt>
                <c:pt idx="634">
                  <c:v>0.10294904690615314</c:v>
                </c:pt>
                <c:pt idx="635">
                  <c:v>0.10107505893658175</c:v>
                </c:pt>
                <c:pt idx="636">
                  <c:v>9.8777522903449322E-2</c:v>
                </c:pt>
                <c:pt idx="637">
                  <c:v>9.6539966517738329E-2</c:v>
                </c:pt>
                <c:pt idx="638">
                  <c:v>9.2656112697866111E-2</c:v>
                </c:pt>
                <c:pt idx="639">
                  <c:v>8.8776887846202635E-2</c:v>
                </c:pt>
                <c:pt idx="640">
                  <c:v>9.4255208779041477E-2</c:v>
                </c:pt>
                <c:pt idx="641">
                  <c:v>8.947990347258139E-2</c:v>
                </c:pt>
                <c:pt idx="642">
                  <c:v>9.0333018796410869E-2</c:v>
                </c:pt>
                <c:pt idx="643">
                  <c:v>9.1193853916401113E-2</c:v>
                </c:pt>
                <c:pt idx="644">
                  <c:v>9.4021722584481493E-2</c:v>
                </c:pt>
                <c:pt idx="645">
                  <c:v>0.10563037795122221</c:v>
                </c:pt>
                <c:pt idx="646">
                  <c:v>0.10183015088886094</c:v>
                </c:pt>
                <c:pt idx="647">
                  <c:v>0.10086503345974618</c:v>
                </c:pt>
                <c:pt idx="648">
                  <c:v>0.10549598070999811</c:v>
                </c:pt>
                <c:pt idx="649">
                  <c:v>0.10649267072418467</c:v>
                </c:pt>
                <c:pt idx="650">
                  <c:v>0.10888555226818464</c:v>
                </c:pt>
                <c:pt idx="651">
                  <c:v>0.10785766167224298</c:v>
                </c:pt>
                <c:pt idx="652">
                  <c:v>0.1148904557874656</c:v>
                </c:pt>
                <c:pt idx="653">
                  <c:v>0.1148904557874656</c:v>
                </c:pt>
                <c:pt idx="654">
                  <c:v>0.12311272376437044</c:v>
                </c:pt>
                <c:pt idx="655">
                  <c:v>0.1255799831166754</c:v>
                </c:pt>
                <c:pt idx="656">
                  <c:v>0.13500736386890677</c:v>
                </c:pt>
                <c:pt idx="657">
                  <c:v>0.13500736386890677</c:v>
                </c:pt>
                <c:pt idx="658">
                  <c:v>0.14171211832748942</c:v>
                </c:pt>
                <c:pt idx="659">
                  <c:v>0.13620612974622981</c:v>
                </c:pt>
                <c:pt idx="660">
                  <c:v>0.12600077989689251</c:v>
                </c:pt>
                <c:pt idx="661">
                  <c:v>0.14993512357697725</c:v>
                </c:pt>
                <c:pt idx="662">
                  <c:v>0.15056042311216389</c:v>
                </c:pt>
                <c:pt idx="663">
                  <c:v>0.1351756331288837</c:v>
                </c:pt>
                <c:pt idx="664">
                  <c:v>0.13643069591964996</c:v>
                </c:pt>
                <c:pt idx="665">
                  <c:v>0.13228535419492582</c:v>
                </c:pt>
                <c:pt idx="666">
                  <c:v>0.13105325942383317</c:v>
                </c:pt>
                <c:pt idx="667">
                  <c:v>0.1288641584145096</c:v>
                </c:pt>
                <c:pt idx="668">
                  <c:v>0.13715279867645769</c:v>
                </c:pt>
                <c:pt idx="669">
                  <c:v>0.13402163851039928</c:v>
                </c:pt>
                <c:pt idx="670">
                  <c:v>0.13710584207049381</c:v>
                </c:pt>
                <c:pt idx="671">
                  <c:v>0.14406981649102035</c:v>
                </c:pt>
                <c:pt idx="672">
                  <c:v>0.15790849321069256</c:v>
                </c:pt>
                <c:pt idx="673">
                  <c:v>0.15178552488118369</c:v>
                </c:pt>
                <c:pt idx="674">
                  <c:v>0.14935163272812291</c:v>
                </c:pt>
                <c:pt idx="675">
                  <c:v>0.1507264989364252</c:v>
                </c:pt>
                <c:pt idx="676">
                  <c:v>0.16284572556470933</c:v>
                </c:pt>
                <c:pt idx="677">
                  <c:v>0.17588129109466089</c:v>
                </c:pt>
                <c:pt idx="678">
                  <c:v>0.17675283136310171</c:v>
                </c:pt>
                <c:pt idx="679">
                  <c:v>0.17367174564345789</c:v>
                </c:pt>
                <c:pt idx="680">
                  <c:v>0.17659923728724425</c:v>
                </c:pt>
                <c:pt idx="681">
                  <c:v>0.19387286350109234</c:v>
                </c:pt>
                <c:pt idx="682">
                  <c:v>0.17781603318660411</c:v>
                </c:pt>
                <c:pt idx="683">
                  <c:v>0.16750500210635733</c:v>
                </c:pt>
                <c:pt idx="684">
                  <c:v>0.1552511562850909</c:v>
                </c:pt>
                <c:pt idx="685">
                  <c:v>0.14498606586829277</c:v>
                </c:pt>
                <c:pt idx="686">
                  <c:v>0.12561559892681395</c:v>
                </c:pt>
                <c:pt idx="687">
                  <c:v>0.13994720703307195</c:v>
                </c:pt>
                <c:pt idx="688">
                  <c:v>0.13764553005359392</c:v>
                </c:pt>
                <c:pt idx="689">
                  <c:v>0.14953861474395902</c:v>
                </c:pt>
                <c:pt idx="690">
                  <c:v>0.13672222287309066</c:v>
                </c:pt>
                <c:pt idx="691">
                  <c:v>0.13545210911532846</c:v>
                </c:pt>
                <c:pt idx="692">
                  <c:v>0.13738349086000146</c:v>
                </c:pt>
                <c:pt idx="693">
                  <c:v>0.14238205727685205</c:v>
                </c:pt>
                <c:pt idx="694">
                  <c:v>0.14238205727685205</c:v>
                </c:pt>
                <c:pt idx="695">
                  <c:v>0.14621363938932186</c:v>
                </c:pt>
                <c:pt idx="696">
                  <c:v>0.14486295548886141</c:v>
                </c:pt>
                <c:pt idx="697">
                  <c:v>0.14157232588893209</c:v>
                </c:pt>
                <c:pt idx="698">
                  <c:v>0.13712162945709683</c:v>
                </c:pt>
                <c:pt idx="699">
                  <c:v>0.14622575469507459</c:v>
                </c:pt>
                <c:pt idx="700">
                  <c:v>0.14350458051385051</c:v>
                </c:pt>
                <c:pt idx="701">
                  <c:v>0.12813101301425134</c:v>
                </c:pt>
                <c:pt idx="702">
                  <c:v>0.12427085966767493</c:v>
                </c:pt>
                <c:pt idx="703">
                  <c:v>0.11900128670976173</c:v>
                </c:pt>
                <c:pt idx="704">
                  <c:v>0.11437797643372272</c:v>
                </c:pt>
                <c:pt idx="705">
                  <c:v>0.12443086061768593</c:v>
                </c:pt>
                <c:pt idx="706">
                  <c:v>0.11729973078520717</c:v>
                </c:pt>
                <c:pt idx="707">
                  <c:v>0.11077581119523339</c:v>
                </c:pt>
                <c:pt idx="708">
                  <c:v>0.10566330589870432</c:v>
                </c:pt>
                <c:pt idx="709">
                  <c:v>0.10906059970226978</c:v>
                </c:pt>
                <c:pt idx="710">
                  <c:v>0.10703591854336114</c:v>
                </c:pt>
                <c:pt idx="711">
                  <c:v>0.10278009803297172</c:v>
                </c:pt>
                <c:pt idx="712">
                  <c:v>0.11159285981488254</c:v>
                </c:pt>
                <c:pt idx="713">
                  <c:v>0.11054102856711367</c:v>
                </c:pt>
                <c:pt idx="714">
                  <c:v>0.10832445532733415</c:v>
                </c:pt>
                <c:pt idx="715">
                  <c:v>0.11315232171687428</c:v>
                </c:pt>
                <c:pt idx="716">
                  <c:v>0.11315232171687428</c:v>
                </c:pt>
                <c:pt idx="717">
                  <c:v>0.10595545534325224</c:v>
                </c:pt>
                <c:pt idx="718">
                  <c:v>0.11077390017446276</c:v>
                </c:pt>
                <c:pt idx="719">
                  <c:v>0.11877746690238167</c:v>
                </c:pt>
                <c:pt idx="720">
                  <c:v>0.12356726003121465</c:v>
                </c:pt>
                <c:pt idx="721">
                  <c:v>0.12953751454669327</c:v>
                </c:pt>
                <c:pt idx="722">
                  <c:v>0.12646953403269245</c:v>
                </c:pt>
                <c:pt idx="723">
                  <c:v>0.12221866547923055</c:v>
                </c:pt>
                <c:pt idx="724">
                  <c:v>0.1086806271582591</c:v>
                </c:pt>
                <c:pt idx="725">
                  <c:v>0.10445417416555358</c:v>
                </c:pt>
                <c:pt idx="726">
                  <c:v>0.10544161242420236</c:v>
                </c:pt>
                <c:pt idx="727">
                  <c:v>0.10444429428066482</c:v>
                </c:pt>
                <c:pt idx="728">
                  <c:v>9.9219144237641665E-2</c:v>
                </c:pt>
                <c:pt idx="729">
                  <c:v>9.6932615953632895E-2</c:v>
                </c:pt>
                <c:pt idx="730">
                  <c:v>9.7852897123312688E-2</c:v>
                </c:pt>
                <c:pt idx="731">
                  <c:v>9.6923408402693423E-2</c:v>
                </c:pt>
                <c:pt idx="732">
                  <c:v>9.292829212202558E-2</c:v>
                </c:pt>
                <c:pt idx="733">
                  <c:v>9.2043159293691668E-2</c:v>
                </c:pt>
                <c:pt idx="734">
                  <c:v>9.2919445066413475E-2</c:v>
                </c:pt>
                <c:pt idx="735">
                  <c:v>8.8559100106411881E-2</c:v>
                </c:pt>
                <c:pt idx="736">
                  <c:v>8.5505892164891462E-2</c:v>
                </c:pt>
                <c:pt idx="737">
                  <c:v>8.853852288108166E-2</c:v>
                </c:pt>
                <c:pt idx="738">
                  <c:v>8.3208216810605529E-2</c:v>
                </c:pt>
                <c:pt idx="739">
                  <c:v>8.8850601956409592E-2</c:v>
                </c:pt>
                <c:pt idx="740">
                  <c:v>8.6347703120004504E-2</c:v>
                </c:pt>
                <c:pt idx="741">
                  <c:v>8.6347703120004504E-2</c:v>
                </c:pt>
                <c:pt idx="742">
                  <c:v>8.6347703120004504E-2</c:v>
                </c:pt>
                <c:pt idx="743">
                  <c:v>8.6347703120004504E-2</c:v>
                </c:pt>
                <c:pt idx="744">
                  <c:v>8.168214105264382E-2</c:v>
                </c:pt>
                <c:pt idx="745">
                  <c:v>8.3357872274752443E-2</c:v>
                </c:pt>
                <c:pt idx="746">
                  <c:v>8.3357872274752443E-2</c:v>
                </c:pt>
                <c:pt idx="747">
                  <c:v>8.2559696642970914E-2</c:v>
                </c:pt>
                <c:pt idx="748">
                  <c:v>8.0484677120115089E-2</c:v>
                </c:pt>
                <c:pt idx="749">
                  <c:v>8.189042670366764E-2</c:v>
                </c:pt>
                <c:pt idx="750">
                  <c:v>8.189042670366764E-2</c:v>
                </c:pt>
                <c:pt idx="751">
                  <c:v>8.2674511066280099E-2</c:v>
                </c:pt>
                <c:pt idx="752">
                  <c:v>8.6177228231659853E-2</c:v>
                </c:pt>
                <c:pt idx="753">
                  <c:v>8.7664164164557579E-2</c:v>
                </c:pt>
                <c:pt idx="754">
                  <c:v>9.1572978065428745E-2</c:v>
                </c:pt>
                <c:pt idx="755">
                  <c:v>8.7156410409909957E-2</c:v>
                </c:pt>
                <c:pt idx="756">
                  <c:v>8.474312359185121E-2</c:v>
                </c:pt>
                <c:pt idx="757">
                  <c:v>8.315149584358883E-2</c:v>
                </c:pt>
                <c:pt idx="758">
                  <c:v>8.0329636609840271E-2</c:v>
                </c:pt>
                <c:pt idx="759">
                  <c:v>8.3471123020951055E-2</c:v>
                </c:pt>
                <c:pt idx="760">
                  <c:v>8.4269637160808708E-2</c:v>
                </c:pt>
                <c:pt idx="761">
                  <c:v>8.1932537629498037E-2</c:v>
                </c:pt>
                <c:pt idx="762">
                  <c:v>7.8344085030626509E-2</c:v>
                </c:pt>
                <c:pt idx="763">
                  <c:v>7.4307497638438025E-2</c:v>
                </c:pt>
                <c:pt idx="764">
                  <c:v>7.2543364540173072E-2</c:v>
                </c:pt>
                <c:pt idx="765">
                  <c:v>8.2257931770903125E-2</c:v>
                </c:pt>
                <c:pt idx="766">
                  <c:v>7.9041850386682322E-2</c:v>
                </c:pt>
                <c:pt idx="767">
                  <c:v>7.4278046818959886E-2</c:v>
                </c:pt>
                <c:pt idx="768">
                  <c:v>7.6287820756161917E-2</c:v>
                </c:pt>
                <c:pt idx="769">
                  <c:v>7.2443571789493677E-2</c:v>
                </c:pt>
                <c:pt idx="770">
                  <c:v>7.2443571789493677E-2</c:v>
                </c:pt>
                <c:pt idx="771">
                  <c:v>7.5571430528837524E-2</c:v>
                </c:pt>
                <c:pt idx="772">
                  <c:v>7.9677906339431392E-2</c:v>
                </c:pt>
                <c:pt idx="773">
                  <c:v>7.7082816488575068E-2</c:v>
                </c:pt>
                <c:pt idx="774">
                  <c:v>7.322740759805102E-2</c:v>
                </c:pt>
                <c:pt idx="775">
                  <c:v>7.322740759805102E-2</c:v>
                </c:pt>
                <c:pt idx="776">
                  <c:v>7.1645359427707334E-2</c:v>
                </c:pt>
                <c:pt idx="777">
                  <c:v>7.1645359427707334E-2</c:v>
                </c:pt>
                <c:pt idx="778">
                  <c:v>6.8725644772621886E-2</c:v>
                </c:pt>
                <c:pt idx="779">
                  <c:v>6.8725644772621886E-2</c:v>
                </c:pt>
                <c:pt idx="780">
                  <c:v>6.3187418790439542E-2</c:v>
                </c:pt>
                <c:pt idx="781">
                  <c:v>6.008107481482361E-2</c:v>
                </c:pt>
                <c:pt idx="782">
                  <c:v>6.008107481482361E-2</c:v>
                </c:pt>
                <c:pt idx="783">
                  <c:v>5.8426946417598824E-2</c:v>
                </c:pt>
                <c:pt idx="784">
                  <c:v>6.0443939790013945E-2</c:v>
                </c:pt>
                <c:pt idx="785">
                  <c:v>7.1951628538442836E-2</c:v>
                </c:pt>
                <c:pt idx="786">
                  <c:v>6.4673268062412026E-2</c:v>
                </c:pt>
                <c:pt idx="787">
                  <c:v>6.5298412567200703E-2</c:v>
                </c:pt>
                <c:pt idx="788">
                  <c:v>6.8457051963387694E-2</c:v>
                </c:pt>
                <c:pt idx="789">
                  <c:v>6.4428774061055183E-2</c:v>
                </c:pt>
                <c:pt idx="790">
                  <c:v>6.2212573324125775E-2</c:v>
                </c:pt>
                <c:pt idx="791">
                  <c:v>7.3818991598421646E-2</c:v>
                </c:pt>
                <c:pt idx="792">
                  <c:v>6.9273671216147581E-2</c:v>
                </c:pt>
                <c:pt idx="793">
                  <c:v>6.6673671490617537E-2</c:v>
                </c:pt>
                <c:pt idx="794">
                  <c:v>6.4772898134595969E-2</c:v>
                </c:pt>
                <c:pt idx="795">
                  <c:v>6.5398971630879488E-2</c:v>
                </c:pt>
                <c:pt idx="796">
                  <c:v>6.8249823726847847E-2</c:v>
                </c:pt>
                <c:pt idx="797">
                  <c:v>7.1377092474954829E-2</c:v>
                </c:pt>
                <c:pt idx="798">
                  <c:v>6.9689171420006968E-2</c:v>
                </c:pt>
                <c:pt idx="799">
                  <c:v>7.4828976401073444E-2</c:v>
                </c:pt>
                <c:pt idx="800">
                  <c:v>7.2600498167361027E-2</c:v>
                </c:pt>
                <c:pt idx="801">
                  <c:v>7.9135760104808495E-2</c:v>
                </c:pt>
                <c:pt idx="802">
                  <c:v>7.9135760104808495E-2</c:v>
                </c:pt>
                <c:pt idx="803">
                  <c:v>8.1416752544412607E-2</c:v>
                </c:pt>
                <c:pt idx="804">
                  <c:v>8.063633511298085E-2</c:v>
                </c:pt>
                <c:pt idx="805">
                  <c:v>8.063633511298085E-2</c:v>
                </c:pt>
                <c:pt idx="806">
                  <c:v>7.0094239995865282E-2</c:v>
                </c:pt>
                <c:pt idx="807">
                  <c:v>7.0769775908254728E-2</c:v>
                </c:pt>
                <c:pt idx="808">
                  <c:v>7.145156904789729E-2</c:v>
                </c:pt>
                <c:pt idx="809">
                  <c:v>6.7699900703036109E-2</c:v>
                </c:pt>
                <c:pt idx="810">
                  <c:v>6.7699900703036109E-2</c:v>
                </c:pt>
                <c:pt idx="811">
                  <c:v>7.144041798380163E-2</c:v>
                </c:pt>
                <c:pt idx="812">
                  <c:v>7.144041798380163E-2</c:v>
                </c:pt>
                <c:pt idx="813">
                  <c:v>7.144041798380163E-2</c:v>
                </c:pt>
                <c:pt idx="814">
                  <c:v>7.2128418118210025E-2</c:v>
                </c:pt>
                <c:pt idx="815">
                  <c:v>7.4179259905891026E-2</c:v>
                </c:pt>
                <c:pt idx="816">
                  <c:v>6.8619804707271137E-2</c:v>
                </c:pt>
                <c:pt idx="817">
                  <c:v>7.3103663058316948E-2</c:v>
                </c:pt>
                <c:pt idx="818">
                  <c:v>7.1369376696158615E-2</c:v>
                </c:pt>
                <c:pt idx="819">
                  <c:v>7.7091828261293127E-2</c:v>
                </c:pt>
                <c:pt idx="820">
                  <c:v>7.7831939391650673E-2</c:v>
                </c:pt>
                <c:pt idx="821">
                  <c:v>8.062875190309593E-2</c:v>
                </c:pt>
                <c:pt idx="822">
                  <c:v>8.1401299044485564E-2</c:v>
                </c:pt>
                <c:pt idx="823">
                  <c:v>7.9882660427658347E-2</c:v>
                </c:pt>
                <c:pt idx="824">
                  <c:v>7.7437489614503918E-2</c:v>
                </c:pt>
                <c:pt idx="825">
                  <c:v>8.2933473318771211E-2</c:v>
                </c:pt>
                <c:pt idx="826">
                  <c:v>9.454127474207541E-2</c:v>
                </c:pt>
                <c:pt idx="827">
                  <c:v>9.0509632842183718E-2</c:v>
                </c:pt>
                <c:pt idx="828">
                  <c:v>8.7918892330110743E-2</c:v>
                </c:pt>
                <c:pt idx="829">
                  <c:v>8.4615693970961137E-2</c:v>
                </c:pt>
                <c:pt idx="830">
                  <c:v>9.7317548614099136E-2</c:v>
                </c:pt>
                <c:pt idx="831">
                  <c:v>0.10125814996859739</c:v>
                </c:pt>
                <c:pt idx="832">
                  <c:v>9.2344844299603657E-2</c:v>
                </c:pt>
                <c:pt idx="833">
                  <c:v>8.6930177773299366E-2</c:v>
                </c:pt>
                <c:pt idx="834">
                  <c:v>8.162450764303919E-2</c:v>
                </c:pt>
                <c:pt idx="835">
                  <c:v>8.305521977089847E-2</c:v>
                </c:pt>
                <c:pt idx="836">
                  <c:v>7.9552526838265081E-2</c:v>
                </c:pt>
                <c:pt idx="837">
                  <c:v>7.8789202408871106E-2</c:v>
                </c:pt>
                <c:pt idx="838">
                  <c:v>7.6501294357175675E-2</c:v>
                </c:pt>
                <c:pt idx="839">
                  <c:v>7.2968721552548965E-2</c:v>
                </c:pt>
                <c:pt idx="840">
                  <c:v>7.045003494890667E-2</c:v>
                </c:pt>
                <c:pt idx="841">
                  <c:v>7.2901555225576509E-2</c:v>
                </c:pt>
                <c:pt idx="842">
                  <c:v>6.9568932545305384E-2</c:v>
                </c:pt>
                <c:pt idx="843">
                  <c:v>7.3173638604445368E-2</c:v>
                </c:pt>
                <c:pt idx="844">
                  <c:v>7.2469084460628608E-2</c:v>
                </c:pt>
                <c:pt idx="845">
                  <c:v>6.8829923684416316E-2</c:v>
                </c:pt>
                <c:pt idx="846">
                  <c:v>6.4490969213599314E-2</c:v>
                </c:pt>
                <c:pt idx="847">
                  <c:v>6.1867962768827889E-2</c:v>
                </c:pt>
                <c:pt idx="848">
                  <c:v>6.3256061048578061E-2</c:v>
                </c:pt>
                <c:pt idx="849">
                  <c:v>6.4706365228705098E-2</c:v>
                </c:pt>
                <c:pt idx="850">
                  <c:v>6.9299117463713311E-2</c:v>
                </c:pt>
                <c:pt idx="851">
                  <c:v>6.9967282118876706E-2</c:v>
                </c:pt>
                <c:pt idx="852">
                  <c:v>7.3743687017438497E-2</c:v>
                </c:pt>
                <c:pt idx="853">
                  <c:v>7.5508557068868165E-2</c:v>
                </c:pt>
                <c:pt idx="854">
                  <c:v>7.1889352357356939E-2</c:v>
                </c:pt>
                <c:pt idx="855">
                  <c:v>6.9559597744074275E-2</c:v>
                </c:pt>
                <c:pt idx="856">
                  <c:v>6.0231553529857651E-2</c:v>
                </c:pt>
                <c:pt idx="857">
                  <c:v>6.0231553529857651E-2</c:v>
                </c:pt>
                <c:pt idx="858">
                  <c:v>5.805729307629659E-2</c:v>
                </c:pt>
                <c:pt idx="859">
                  <c:v>5.5378212013316275E-2</c:v>
                </c:pt>
                <c:pt idx="860">
                  <c:v>5.4839901459465379E-2</c:v>
                </c:pt>
                <c:pt idx="861">
                  <c:v>5.4306671831456321E-2</c:v>
                </c:pt>
                <c:pt idx="862">
                  <c:v>6.0097378551132841E-2</c:v>
                </c:pt>
                <c:pt idx="863">
                  <c:v>6.266794865989489E-2</c:v>
                </c:pt>
                <c:pt idx="864">
                  <c:v>6.5026575940482778E-2</c:v>
                </c:pt>
                <c:pt idx="865">
                  <c:v>6.5026575940482778E-2</c:v>
                </c:pt>
                <c:pt idx="866">
                  <c:v>6.1387240361266304E-2</c:v>
                </c:pt>
                <c:pt idx="867">
                  <c:v>5.3993263614339759E-2</c:v>
                </c:pt>
                <c:pt idx="868">
                  <c:v>5.1490702899553042E-2</c:v>
                </c:pt>
                <c:pt idx="869">
                  <c:v>5.8137118276440525E-2</c:v>
                </c:pt>
                <c:pt idx="870">
                  <c:v>6.1044271356044622E-2</c:v>
                </c:pt>
                <c:pt idx="871">
                  <c:v>6.1044271356044622E-2</c:v>
                </c:pt>
                <c:pt idx="872">
                  <c:v>5.8883069618216211E-2</c:v>
                </c:pt>
                <c:pt idx="873">
                  <c:v>5.661115973205233E-2</c:v>
                </c:pt>
                <c:pt idx="874">
                  <c:v>5.1870562218415794E-2</c:v>
                </c:pt>
                <c:pt idx="875">
                  <c:v>5.1870562218415794E-2</c:v>
                </c:pt>
                <c:pt idx="876">
                  <c:v>4.9069272254403495E-2</c:v>
                </c:pt>
                <c:pt idx="877">
                  <c:v>5.3914506615736491E-2</c:v>
                </c:pt>
                <c:pt idx="878">
                  <c:v>5.7704390822710616E-2</c:v>
                </c:pt>
                <c:pt idx="879">
                  <c:v>5.8264289527297897E-2</c:v>
                </c:pt>
                <c:pt idx="880">
                  <c:v>5.3726893266348164E-2</c:v>
                </c:pt>
                <c:pt idx="881">
                  <c:v>4.7961124276696854E-2</c:v>
                </c:pt>
                <c:pt idx="882">
                  <c:v>4.8428930787800306E-2</c:v>
                </c:pt>
                <c:pt idx="883">
                  <c:v>4.8428930787800306E-2</c:v>
                </c:pt>
                <c:pt idx="884">
                  <c:v>4.628415889148374E-2</c:v>
                </c:pt>
                <c:pt idx="885">
                  <c:v>4.583209049688286E-2</c:v>
                </c:pt>
                <c:pt idx="886">
                  <c:v>4.7643308980791166E-2</c:v>
                </c:pt>
                <c:pt idx="887">
                  <c:v>5.2743492485641696E-2</c:v>
                </c:pt>
                <c:pt idx="888">
                  <c:v>5.2743492485641696E-2</c:v>
                </c:pt>
                <c:pt idx="889">
                  <c:v>4.8913849944719701E-2</c:v>
                </c:pt>
                <c:pt idx="890">
                  <c:v>4.6618297068375392E-2</c:v>
                </c:pt>
                <c:pt idx="891">
                  <c:v>4.6163044671967302E-2</c:v>
                </c:pt>
                <c:pt idx="892">
                  <c:v>6.7078847568952438E-2</c:v>
                </c:pt>
                <c:pt idx="893">
                  <c:v>7.3602843312652433E-2</c:v>
                </c:pt>
                <c:pt idx="894">
                  <c:v>0.13431350138421516</c:v>
                </c:pt>
                <c:pt idx="895">
                  <c:v>0.19305111775719086</c:v>
                </c:pt>
                <c:pt idx="896">
                  <c:v>0.14683039686185451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EE-4F7B-9301-EEAC531E3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5792"/>
        <c:axId val="503115776"/>
      </c:scatterChart>
      <c:scatterChart>
        <c:scatterStyle val="smoothMarker"/>
        <c:varyColors val="0"/>
        <c:ser>
          <c:idx val="1"/>
          <c:order val="1"/>
          <c:tx>
            <c:v>Z-score Macro</c:v>
          </c:tx>
          <c:spPr>
            <a:ln w="44450">
              <a:solidFill>
                <a:srgbClr val="FFC000"/>
              </a:solidFill>
            </a:ln>
          </c:spPr>
          <c:marker>
            <c:symbol val="none"/>
          </c:marker>
          <c:dPt>
            <c:idx val="896"/>
            <c:marker>
              <c:symbol val="circle"/>
              <c:size val="10"/>
              <c:spPr>
                <a:solidFill>
                  <a:srgbClr val="FFC000"/>
                </a:solidFill>
                <a:ln>
                  <a:solidFill>
                    <a:srgbClr val="FF0000"/>
                  </a:solidFill>
                </a:ln>
              </c:spPr>
            </c:marker>
            <c:bubble3D val="0"/>
            <c:spPr>
              <a:ln w="44450">
                <a:solidFill>
                  <a:srgbClr val="FFC000"/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1-575E-4C30-9E24-A2DEC8F6F40F}"/>
              </c:ext>
            </c:extLst>
          </c:dPt>
          <c:xVal>
            <c:numRef>
              <c:f>HISTORIA!$A$2:$A$898</c:f>
              <c:numCache>
                <c:formatCode>d/mm/yyyy;@</c:formatCode>
                <c:ptCount val="897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  <c:pt idx="896">
                  <c:v>44009</c:v>
                </c:pt>
              </c:numCache>
            </c:numRef>
          </c:xVal>
          <c:yVal>
            <c:numRef>
              <c:f>HISTORIA!$L$2:$L$898</c:f>
              <c:numCache>
                <c:formatCode>_(* #,##0.00_);_(* \(#,##0.00\);_(* "-"??_);_(@_)</c:formatCode>
                <c:ptCount val="897"/>
                <c:pt idx="0">
                  <c:v>-0.31663391941834451</c:v>
                </c:pt>
                <c:pt idx="1">
                  <c:v>-0.31663391941834451</c:v>
                </c:pt>
                <c:pt idx="2">
                  <c:v>-0.31663391941834451</c:v>
                </c:pt>
                <c:pt idx="3">
                  <c:v>-0.31663391941834451</c:v>
                </c:pt>
                <c:pt idx="4">
                  <c:v>-0.31663391941834451</c:v>
                </c:pt>
                <c:pt idx="5">
                  <c:v>-0.31663391941834451</c:v>
                </c:pt>
                <c:pt idx="6">
                  <c:v>-0.31663391941834451</c:v>
                </c:pt>
                <c:pt idx="7">
                  <c:v>-0.31663391941834451</c:v>
                </c:pt>
                <c:pt idx="8">
                  <c:v>-0.31663391941834451</c:v>
                </c:pt>
                <c:pt idx="9">
                  <c:v>-0.31663391941834451</c:v>
                </c:pt>
                <c:pt idx="10">
                  <c:v>-0.56016615544486192</c:v>
                </c:pt>
                <c:pt idx="11">
                  <c:v>-0.56016615544486192</c:v>
                </c:pt>
                <c:pt idx="12">
                  <c:v>-0.56016615544486192</c:v>
                </c:pt>
                <c:pt idx="13">
                  <c:v>-0.56016615544486192</c:v>
                </c:pt>
                <c:pt idx="14">
                  <c:v>-0.56016615544486192</c:v>
                </c:pt>
                <c:pt idx="15">
                  <c:v>-0.56016615544486192</c:v>
                </c:pt>
                <c:pt idx="16">
                  <c:v>-0.56016615544486192</c:v>
                </c:pt>
                <c:pt idx="17">
                  <c:v>-0.56016615544486192</c:v>
                </c:pt>
                <c:pt idx="18">
                  <c:v>-0.56016615544486192</c:v>
                </c:pt>
                <c:pt idx="19">
                  <c:v>-0.56016615544486192</c:v>
                </c:pt>
                <c:pt idx="20">
                  <c:v>-0.56016615544486192</c:v>
                </c:pt>
                <c:pt idx="21">
                  <c:v>-0.56016615544486192</c:v>
                </c:pt>
                <c:pt idx="22">
                  <c:v>-0.56016615544486192</c:v>
                </c:pt>
                <c:pt idx="23">
                  <c:v>-0.56944819366678712</c:v>
                </c:pt>
                <c:pt idx="24">
                  <c:v>-0.56944819366678712</c:v>
                </c:pt>
                <c:pt idx="25">
                  <c:v>-0.56944819366678712</c:v>
                </c:pt>
                <c:pt idx="26">
                  <c:v>-0.56944819366678712</c:v>
                </c:pt>
                <c:pt idx="27">
                  <c:v>-0.56944819366678712</c:v>
                </c:pt>
                <c:pt idx="28">
                  <c:v>-0.56944819366678712</c:v>
                </c:pt>
                <c:pt idx="29">
                  <c:v>-0.56944819366678712</c:v>
                </c:pt>
                <c:pt idx="30">
                  <c:v>-0.56944819366678712</c:v>
                </c:pt>
                <c:pt idx="31">
                  <c:v>-0.56944819366678712</c:v>
                </c:pt>
                <c:pt idx="32">
                  <c:v>-0.56944819366678712</c:v>
                </c:pt>
                <c:pt idx="33">
                  <c:v>-0.56944819366678712</c:v>
                </c:pt>
                <c:pt idx="34">
                  <c:v>-0.56944819366678712</c:v>
                </c:pt>
                <c:pt idx="35">
                  <c:v>-0.56944819366678712</c:v>
                </c:pt>
                <c:pt idx="36">
                  <c:v>-0.49862981583514321</c:v>
                </c:pt>
                <c:pt idx="37">
                  <c:v>-0.49862981583514321</c:v>
                </c:pt>
                <c:pt idx="38">
                  <c:v>-0.49862981583514321</c:v>
                </c:pt>
                <c:pt idx="39">
                  <c:v>-0.49862981583514321</c:v>
                </c:pt>
                <c:pt idx="40">
                  <c:v>-0.49862981583514321</c:v>
                </c:pt>
                <c:pt idx="41">
                  <c:v>-0.49862981583514321</c:v>
                </c:pt>
                <c:pt idx="42">
                  <c:v>-0.49862981583514321</c:v>
                </c:pt>
                <c:pt idx="43">
                  <c:v>-0.49862981583514321</c:v>
                </c:pt>
                <c:pt idx="44">
                  <c:v>-0.49862981583514321</c:v>
                </c:pt>
                <c:pt idx="45">
                  <c:v>-0.49862981583514321</c:v>
                </c:pt>
                <c:pt idx="46">
                  <c:v>-0.49862981583514321</c:v>
                </c:pt>
                <c:pt idx="47">
                  <c:v>-0.49862981583514321</c:v>
                </c:pt>
                <c:pt idx="48">
                  <c:v>-0.49862981583514321</c:v>
                </c:pt>
                <c:pt idx="49">
                  <c:v>-0.5743667124720726</c:v>
                </c:pt>
                <c:pt idx="50">
                  <c:v>-0.5743667124720726</c:v>
                </c:pt>
                <c:pt idx="51">
                  <c:v>-0.5743667124720726</c:v>
                </c:pt>
                <c:pt idx="52">
                  <c:v>-0.5743667124720726</c:v>
                </c:pt>
                <c:pt idx="53">
                  <c:v>-0.5743667124720726</c:v>
                </c:pt>
                <c:pt idx="54">
                  <c:v>-0.5743667124720726</c:v>
                </c:pt>
                <c:pt idx="55">
                  <c:v>-0.5743667124720726</c:v>
                </c:pt>
                <c:pt idx="56">
                  <c:v>-0.5743667124720726</c:v>
                </c:pt>
                <c:pt idx="57">
                  <c:v>-0.5743667124720726</c:v>
                </c:pt>
                <c:pt idx="58">
                  <c:v>-0.5743667124720726</c:v>
                </c:pt>
                <c:pt idx="59">
                  <c:v>-0.5743667124720726</c:v>
                </c:pt>
                <c:pt idx="60">
                  <c:v>-0.5743667124720726</c:v>
                </c:pt>
                <c:pt idx="61">
                  <c:v>-0.5743667124720726</c:v>
                </c:pt>
                <c:pt idx="62">
                  <c:v>-0.54377094148791971</c:v>
                </c:pt>
                <c:pt idx="63">
                  <c:v>-0.54377094148791971</c:v>
                </c:pt>
                <c:pt idx="64">
                  <c:v>-0.54377094148791971</c:v>
                </c:pt>
                <c:pt idx="65">
                  <c:v>-0.54377094148791971</c:v>
                </c:pt>
                <c:pt idx="66">
                  <c:v>-0.54377094148791971</c:v>
                </c:pt>
                <c:pt idx="67">
                  <c:v>-0.54377094148791971</c:v>
                </c:pt>
                <c:pt idx="68">
                  <c:v>-0.54377094148791971</c:v>
                </c:pt>
                <c:pt idx="69">
                  <c:v>-0.54377094148791971</c:v>
                </c:pt>
                <c:pt idx="70">
                  <c:v>-0.54377094148791971</c:v>
                </c:pt>
                <c:pt idx="71">
                  <c:v>-0.54377094148791971</c:v>
                </c:pt>
                <c:pt idx="72">
                  <c:v>-0.54377094148791971</c:v>
                </c:pt>
                <c:pt idx="73">
                  <c:v>-0.54377094148791971</c:v>
                </c:pt>
                <c:pt idx="74">
                  <c:v>-0.54377094148791971</c:v>
                </c:pt>
                <c:pt idx="75">
                  <c:v>-0.32246674510803613</c:v>
                </c:pt>
                <c:pt idx="76">
                  <c:v>-0.32246674510803613</c:v>
                </c:pt>
                <c:pt idx="77">
                  <c:v>-0.32246674510803613</c:v>
                </c:pt>
                <c:pt idx="78">
                  <c:v>-0.32246674510803613</c:v>
                </c:pt>
                <c:pt idx="79">
                  <c:v>-0.32246674510803613</c:v>
                </c:pt>
                <c:pt idx="80">
                  <c:v>-0.32246674510803613</c:v>
                </c:pt>
                <c:pt idx="81">
                  <c:v>-0.32246674510803613</c:v>
                </c:pt>
                <c:pt idx="82">
                  <c:v>-0.32246674510803613</c:v>
                </c:pt>
                <c:pt idx="83">
                  <c:v>-0.32246674510803613</c:v>
                </c:pt>
                <c:pt idx="84">
                  <c:v>-0.32246674510803613</c:v>
                </c:pt>
                <c:pt idx="85">
                  <c:v>-0.32246674510803613</c:v>
                </c:pt>
                <c:pt idx="86">
                  <c:v>-0.32246674510803613</c:v>
                </c:pt>
                <c:pt idx="87">
                  <c:v>-0.32246674510803613</c:v>
                </c:pt>
                <c:pt idx="88">
                  <c:v>-0.30632738056491116</c:v>
                </c:pt>
                <c:pt idx="89">
                  <c:v>-0.30632738056491116</c:v>
                </c:pt>
                <c:pt idx="90">
                  <c:v>-0.30632738056491116</c:v>
                </c:pt>
                <c:pt idx="91">
                  <c:v>-0.30632738056491116</c:v>
                </c:pt>
                <c:pt idx="92">
                  <c:v>-0.30632738056491116</c:v>
                </c:pt>
                <c:pt idx="93">
                  <c:v>-0.30632738056491116</c:v>
                </c:pt>
                <c:pt idx="94">
                  <c:v>-0.30632738056491116</c:v>
                </c:pt>
                <c:pt idx="95">
                  <c:v>-0.30632738056491116</c:v>
                </c:pt>
                <c:pt idx="96">
                  <c:v>-0.30632738056491116</c:v>
                </c:pt>
                <c:pt idx="97">
                  <c:v>-0.30632738056491116</c:v>
                </c:pt>
                <c:pt idx="98">
                  <c:v>-0.30632738056491116</c:v>
                </c:pt>
                <c:pt idx="99">
                  <c:v>-0.30632738056491116</c:v>
                </c:pt>
                <c:pt idx="100">
                  <c:v>-0.30632738056491116</c:v>
                </c:pt>
                <c:pt idx="101">
                  <c:v>-0.27604159149103857</c:v>
                </c:pt>
                <c:pt idx="102">
                  <c:v>-0.27604159149103857</c:v>
                </c:pt>
                <c:pt idx="103">
                  <c:v>-0.27604159149103857</c:v>
                </c:pt>
                <c:pt idx="104">
                  <c:v>-0.27604159149103857</c:v>
                </c:pt>
                <c:pt idx="105">
                  <c:v>-0.27604159149103857</c:v>
                </c:pt>
                <c:pt idx="106">
                  <c:v>-0.27604159149103857</c:v>
                </c:pt>
                <c:pt idx="107">
                  <c:v>-0.27604159149103857</c:v>
                </c:pt>
                <c:pt idx="108">
                  <c:v>-0.27604159149103857</c:v>
                </c:pt>
                <c:pt idx="109">
                  <c:v>-0.27604159149103857</c:v>
                </c:pt>
                <c:pt idx="110">
                  <c:v>-0.27604159149103857</c:v>
                </c:pt>
                <c:pt idx="111">
                  <c:v>-0.27604159149103857</c:v>
                </c:pt>
                <c:pt idx="112">
                  <c:v>-0.27604159149103857</c:v>
                </c:pt>
                <c:pt idx="113">
                  <c:v>-0.27604159149103857</c:v>
                </c:pt>
                <c:pt idx="114">
                  <c:v>-0.25007017292492917</c:v>
                </c:pt>
                <c:pt idx="115">
                  <c:v>-0.25007017292492917</c:v>
                </c:pt>
                <c:pt idx="116">
                  <c:v>-0.25007017292492917</c:v>
                </c:pt>
                <c:pt idx="117">
                  <c:v>-0.25007017292492917</c:v>
                </c:pt>
                <c:pt idx="118">
                  <c:v>-0.25007017292492917</c:v>
                </c:pt>
                <c:pt idx="119">
                  <c:v>-0.25007017292492917</c:v>
                </c:pt>
                <c:pt idx="120">
                  <c:v>-0.25007017292492917</c:v>
                </c:pt>
                <c:pt idx="121">
                  <c:v>-0.25007017292492917</c:v>
                </c:pt>
                <c:pt idx="122">
                  <c:v>-0.25007017292492917</c:v>
                </c:pt>
                <c:pt idx="123">
                  <c:v>-0.25007017292492917</c:v>
                </c:pt>
                <c:pt idx="124">
                  <c:v>-0.25007017292492917</c:v>
                </c:pt>
                <c:pt idx="125">
                  <c:v>-0.25007017292492917</c:v>
                </c:pt>
                <c:pt idx="126">
                  <c:v>-0.25007017292492917</c:v>
                </c:pt>
                <c:pt idx="127">
                  <c:v>-5.5913400716699521E-2</c:v>
                </c:pt>
                <c:pt idx="128">
                  <c:v>-5.5913400716699521E-2</c:v>
                </c:pt>
                <c:pt idx="129">
                  <c:v>-5.5913400716699521E-2</c:v>
                </c:pt>
                <c:pt idx="130">
                  <c:v>-5.5913400716699521E-2</c:v>
                </c:pt>
                <c:pt idx="131">
                  <c:v>-5.5913400716699521E-2</c:v>
                </c:pt>
                <c:pt idx="132">
                  <c:v>-5.5913400716699521E-2</c:v>
                </c:pt>
                <c:pt idx="133">
                  <c:v>-5.5913400716699521E-2</c:v>
                </c:pt>
                <c:pt idx="134">
                  <c:v>-5.5913400716699521E-2</c:v>
                </c:pt>
                <c:pt idx="135">
                  <c:v>-5.5913400716699521E-2</c:v>
                </c:pt>
                <c:pt idx="136">
                  <c:v>-5.5913400716699521E-2</c:v>
                </c:pt>
                <c:pt idx="137">
                  <c:v>-5.5913400716699521E-2</c:v>
                </c:pt>
                <c:pt idx="138">
                  <c:v>-5.5913400716699521E-2</c:v>
                </c:pt>
                <c:pt idx="139">
                  <c:v>-5.5913400716699521E-2</c:v>
                </c:pt>
                <c:pt idx="140">
                  <c:v>-0.10158579984122701</c:v>
                </c:pt>
                <c:pt idx="141">
                  <c:v>-0.10158579984122701</c:v>
                </c:pt>
                <c:pt idx="142">
                  <c:v>-0.10158579984122701</c:v>
                </c:pt>
                <c:pt idx="143">
                  <c:v>-0.10158579984122701</c:v>
                </c:pt>
                <c:pt idx="144">
                  <c:v>-0.10158579984122701</c:v>
                </c:pt>
                <c:pt idx="145">
                  <c:v>-0.10158579984122701</c:v>
                </c:pt>
                <c:pt idx="146">
                  <c:v>-0.10158579984122701</c:v>
                </c:pt>
                <c:pt idx="147">
                  <c:v>-0.10158579984122701</c:v>
                </c:pt>
                <c:pt idx="148">
                  <c:v>-0.10158579984122701</c:v>
                </c:pt>
                <c:pt idx="149">
                  <c:v>-0.10158579984122701</c:v>
                </c:pt>
                <c:pt idx="150">
                  <c:v>-0.10158579984122701</c:v>
                </c:pt>
                <c:pt idx="151">
                  <c:v>-0.10158579984122701</c:v>
                </c:pt>
                <c:pt idx="152">
                  <c:v>-0.10158579984122701</c:v>
                </c:pt>
                <c:pt idx="153">
                  <c:v>-0.10158579984122701</c:v>
                </c:pt>
                <c:pt idx="154">
                  <c:v>-9.1323084154132109E-2</c:v>
                </c:pt>
                <c:pt idx="155">
                  <c:v>-9.1323084154132109E-2</c:v>
                </c:pt>
                <c:pt idx="156">
                  <c:v>-9.1323084154132109E-2</c:v>
                </c:pt>
                <c:pt idx="157">
                  <c:v>-9.1323084154132109E-2</c:v>
                </c:pt>
                <c:pt idx="158">
                  <c:v>-9.1323084154132109E-2</c:v>
                </c:pt>
                <c:pt idx="159">
                  <c:v>-9.1323084154132109E-2</c:v>
                </c:pt>
                <c:pt idx="160">
                  <c:v>-9.1323084154132109E-2</c:v>
                </c:pt>
                <c:pt idx="161">
                  <c:v>-9.1323084154132109E-2</c:v>
                </c:pt>
                <c:pt idx="162">
                  <c:v>-9.1323084154132109E-2</c:v>
                </c:pt>
                <c:pt idx="163">
                  <c:v>-9.1323084154132109E-2</c:v>
                </c:pt>
                <c:pt idx="164">
                  <c:v>-9.1323084154132109E-2</c:v>
                </c:pt>
                <c:pt idx="165">
                  <c:v>-9.1323084154132109E-2</c:v>
                </c:pt>
                <c:pt idx="166">
                  <c:v>-2.4153574540468428E-2</c:v>
                </c:pt>
                <c:pt idx="167">
                  <c:v>-2.4153574540468428E-2</c:v>
                </c:pt>
                <c:pt idx="168">
                  <c:v>-2.4153574540468428E-2</c:v>
                </c:pt>
                <c:pt idx="169">
                  <c:v>-2.4153574540468428E-2</c:v>
                </c:pt>
                <c:pt idx="170">
                  <c:v>-2.4153574540468428E-2</c:v>
                </c:pt>
                <c:pt idx="171">
                  <c:v>-2.4153574540468428E-2</c:v>
                </c:pt>
                <c:pt idx="172">
                  <c:v>-2.4153574540468428E-2</c:v>
                </c:pt>
                <c:pt idx="173">
                  <c:v>-2.4153574540468428E-2</c:v>
                </c:pt>
                <c:pt idx="174">
                  <c:v>-2.4153574540468428E-2</c:v>
                </c:pt>
                <c:pt idx="175">
                  <c:v>-2.4153574540468428E-2</c:v>
                </c:pt>
                <c:pt idx="176">
                  <c:v>-2.4153574540468428E-2</c:v>
                </c:pt>
                <c:pt idx="177">
                  <c:v>-2.4153574540468428E-2</c:v>
                </c:pt>
                <c:pt idx="178">
                  <c:v>-2.4153574540468428E-2</c:v>
                </c:pt>
                <c:pt idx="179">
                  <c:v>0.11824198986730208</c:v>
                </c:pt>
                <c:pt idx="180">
                  <c:v>0.11824198986730208</c:v>
                </c:pt>
                <c:pt idx="181">
                  <c:v>0.11824198986730208</c:v>
                </c:pt>
                <c:pt idx="182">
                  <c:v>0.11824198986730208</c:v>
                </c:pt>
                <c:pt idx="183">
                  <c:v>0.11824198986730208</c:v>
                </c:pt>
                <c:pt idx="184">
                  <c:v>0.11824198986730208</c:v>
                </c:pt>
                <c:pt idx="185">
                  <c:v>0.11824198986730208</c:v>
                </c:pt>
                <c:pt idx="186">
                  <c:v>0.11824198986730208</c:v>
                </c:pt>
                <c:pt idx="187">
                  <c:v>0.11824198986730208</c:v>
                </c:pt>
                <c:pt idx="188">
                  <c:v>0.11824198986730208</c:v>
                </c:pt>
                <c:pt idx="189">
                  <c:v>0.11824198986730208</c:v>
                </c:pt>
                <c:pt idx="190">
                  <c:v>0.11824198986730208</c:v>
                </c:pt>
                <c:pt idx="191">
                  <c:v>0.11824198986730208</c:v>
                </c:pt>
                <c:pt idx="192">
                  <c:v>0.11824198986730208</c:v>
                </c:pt>
                <c:pt idx="193">
                  <c:v>7.6316159680948292E-2</c:v>
                </c:pt>
                <c:pt idx="194">
                  <c:v>7.6316159680948292E-2</c:v>
                </c:pt>
                <c:pt idx="195">
                  <c:v>7.6316159680948292E-2</c:v>
                </c:pt>
                <c:pt idx="196">
                  <c:v>7.6316159680948292E-2</c:v>
                </c:pt>
                <c:pt idx="197">
                  <c:v>7.6316159680948292E-2</c:v>
                </c:pt>
                <c:pt idx="198">
                  <c:v>7.6316159680948292E-2</c:v>
                </c:pt>
                <c:pt idx="199">
                  <c:v>7.6316159680948292E-2</c:v>
                </c:pt>
                <c:pt idx="200">
                  <c:v>7.6316159680948292E-2</c:v>
                </c:pt>
                <c:pt idx="201">
                  <c:v>7.6316159680948292E-2</c:v>
                </c:pt>
                <c:pt idx="202">
                  <c:v>7.6316159680948292E-2</c:v>
                </c:pt>
                <c:pt idx="203">
                  <c:v>7.6316159680948292E-2</c:v>
                </c:pt>
                <c:pt idx="204">
                  <c:v>7.6316159680948292E-2</c:v>
                </c:pt>
                <c:pt idx="205">
                  <c:v>7.6316159680948292E-2</c:v>
                </c:pt>
                <c:pt idx="206">
                  <c:v>-5.6754649922236375E-2</c:v>
                </c:pt>
                <c:pt idx="207">
                  <c:v>-5.6754649922236375E-2</c:v>
                </c:pt>
                <c:pt idx="208">
                  <c:v>-5.6754649922236375E-2</c:v>
                </c:pt>
                <c:pt idx="209">
                  <c:v>-5.6754649922236375E-2</c:v>
                </c:pt>
                <c:pt idx="210">
                  <c:v>-5.6754649922236375E-2</c:v>
                </c:pt>
                <c:pt idx="211">
                  <c:v>-5.6754649922236375E-2</c:v>
                </c:pt>
                <c:pt idx="212">
                  <c:v>-5.6754649922236375E-2</c:v>
                </c:pt>
                <c:pt idx="213">
                  <c:v>-5.6754649922236375E-2</c:v>
                </c:pt>
                <c:pt idx="214">
                  <c:v>-5.6754649922236375E-2</c:v>
                </c:pt>
                <c:pt idx="215">
                  <c:v>-5.6754649922236375E-2</c:v>
                </c:pt>
                <c:pt idx="216">
                  <c:v>-5.6754649922236375E-2</c:v>
                </c:pt>
                <c:pt idx="217">
                  <c:v>-5.6754649922236375E-2</c:v>
                </c:pt>
                <c:pt idx="218">
                  <c:v>-5.6754649922236375E-2</c:v>
                </c:pt>
                <c:pt idx="219">
                  <c:v>5.9102123389108835E-2</c:v>
                </c:pt>
                <c:pt idx="220">
                  <c:v>5.9102123389108835E-2</c:v>
                </c:pt>
                <c:pt idx="221">
                  <c:v>5.9102123389108835E-2</c:v>
                </c:pt>
                <c:pt idx="222">
                  <c:v>5.9102123389108835E-2</c:v>
                </c:pt>
                <c:pt idx="223">
                  <c:v>5.9102123389108835E-2</c:v>
                </c:pt>
                <c:pt idx="224">
                  <c:v>5.9102123389108835E-2</c:v>
                </c:pt>
                <c:pt idx="225">
                  <c:v>5.9102123389108835E-2</c:v>
                </c:pt>
                <c:pt idx="226">
                  <c:v>5.9102123389108835E-2</c:v>
                </c:pt>
                <c:pt idx="227">
                  <c:v>5.9102123389108835E-2</c:v>
                </c:pt>
                <c:pt idx="228">
                  <c:v>5.9102123389108835E-2</c:v>
                </c:pt>
                <c:pt idx="229">
                  <c:v>5.9102123389108835E-2</c:v>
                </c:pt>
                <c:pt idx="230">
                  <c:v>5.9102123389108835E-2</c:v>
                </c:pt>
                <c:pt idx="231">
                  <c:v>5.9102123389108835E-2</c:v>
                </c:pt>
                <c:pt idx="232">
                  <c:v>9.5054669705854133E-2</c:v>
                </c:pt>
                <c:pt idx="233">
                  <c:v>9.5054669705854133E-2</c:v>
                </c:pt>
                <c:pt idx="234">
                  <c:v>9.5054669705854133E-2</c:v>
                </c:pt>
                <c:pt idx="235">
                  <c:v>9.5054669705854133E-2</c:v>
                </c:pt>
                <c:pt idx="236">
                  <c:v>9.5054669705854133E-2</c:v>
                </c:pt>
                <c:pt idx="237">
                  <c:v>9.5054669705854133E-2</c:v>
                </c:pt>
                <c:pt idx="238">
                  <c:v>9.5054669705854133E-2</c:v>
                </c:pt>
                <c:pt idx="239">
                  <c:v>9.5054669705854133E-2</c:v>
                </c:pt>
                <c:pt idx="240">
                  <c:v>9.5054669705854133E-2</c:v>
                </c:pt>
                <c:pt idx="241">
                  <c:v>9.5054669705854133E-2</c:v>
                </c:pt>
                <c:pt idx="242">
                  <c:v>9.5054669705854133E-2</c:v>
                </c:pt>
                <c:pt idx="243">
                  <c:v>9.5054669705854133E-2</c:v>
                </c:pt>
                <c:pt idx="244">
                  <c:v>9.5054669705854133E-2</c:v>
                </c:pt>
                <c:pt idx="245">
                  <c:v>0.13814452561548668</c:v>
                </c:pt>
                <c:pt idx="246">
                  <c:v>0.13814452561548668</c:v>
                </c:pt>
                <c:pt idx="247">
                  <c:v>0.13814452561548668</c:v>
                </c:pt>
                <c:pt idx="248">
                  <c:v>0.13814452561548668</c:v>
                </c:pt>
                <c:pt idx="249">
                  <c:v>0.13814452561548668</c:v>
                </c:pt>
                <c:pt idx="250">
                  <c:v>0.13814452561548668</c:v>
                </c:pt>
                <c:pt idx="251">
                  <c:v>0.13814452561548668</c:v>
                </c:pt>
                <c:pt idx="252">
                  <c:v>0.13814452561548668</c:v>
                </c:pt>
                <c:pt idx="253">
                  <c:v>0.13814452561548668</c:v>
                </c:pt>
                <c:pt idx="254">
                  <c:v>0.13814452561548668</c:v>
                </c:pt>
                <c:pt idx="255">
                  <c:v>0.13814452561548668</c:v>
                </c:pt>
                <c:pt idx="256">
                  <c:v>0.13814452561548668</c:v>
                </c:pt>
                <c:pt idx="257">
                  <c:v>0.13814452561548668</c:v>
                </c:pt>
                <c:pt idx="258">
                  <c:v>0.14709986405169112</c:v>
                </c:pt>
                <c:pt idx="259">
                  <c:v>0.14709986405169112</c:v>
                </c:pt>
                <c:pt idx="260">
                  <c:v>0.14709986405169112</c:v>
                </c:pt>
                <c:pt idx="261">
                  <c:v>0.14709986405169112</c:v>
                </c:pt>
                <c:pt idx="262">
                  <c:v>0.14709986405169112</c:v>
                </c:pt>
                <c:pt idx="263">
                  <c:v>0.14709986405169112</c:v>
                </c:pt>
                <c:pt idx="264">
                  <c:v>0.14709986405169112</c:v>
                </c:pt>
                <c:pt idx="265">
                  <c:v>0.14709986405169112</c:v>
                </c:pt>
                <c:pt idx="266">
                  <c:v>0.14709986405169112</c:v>
                </c:pt>
                <c:pt idx="267">
                  <c:v>0.14709986405169112</c:v>
                </c:pt>
                <c:pt idx="268">
                  <c:v>0.14709986405169112</c:v>
                </c:pt>
                <c:pt idx="269">
                  <c:v>0.14709986405169112</c:v>
                </c:pt>
                <c:pt idx="270">
                  <c:v>0.14709986405169112</c:v>
                </c:pt>
                <c:pt idx="271">
                  <c:v>0.30524471313046664</c:v>
                </c:pt>
                <c:pt idx="272">
                  <c:v>0.30524471313046664</c:v>
                </c:pt>
                <c:pt idx="273">
                  <c:v>0.30524471313046664</c:v>
                </c:pt>
                <c:pt idx="274">
                  <c:v>0.30524471313046664</c:v>
                </c:pt>
                <c:pt idx="275">
                  <c:v>0.30524471313046664</c:v>
                </c:pt>
                <c:pt idx="276">
                  <c:v>0.30524471313046664</c:v>
                </c:pt>
                <c:pt idx="277">
                  <c:v>0.30524471313046664</c:v>
                </c:pt>
                <c:pt idx="278">
                  <c:v>0.30524471313046664</c:v>
                </c:pt>
                <c:pt idx="279">
                  <c:v>0.30524471313046664</c:v>
                </c:pt>
                <c:pt idx="280">
                  <c:v>0.30524471313046664</c:v>
                </c:pt>
                <c:pt idx="281">
                  <c:v>0.30524471313046664</c:v>
                </c:pt>
                <c:pt idx="282">
                  <c:v>0.30524471313046664</c:v>
                </c:pt>
                <c:pt idx="283">
                  <c:v>0.30524471313046664</c:v>
                </c:pt>
                <c:pt idx="284">
                  <c:v>0.43049796987291294</c:v>
                </c:pt>
                <c:pt idx="285">
                  <c:v>0.43049796987291294</c:v>
                </c:pt>
                <c:pt idx="286">
                  <c:v>0.43049796987291294</c:v>
                </c:pt>
                <c:pt idx="287">
                  <c:v>0.43049796987291294</c:v>
                </c:pt>
                <c:pt idx="288">
                  <c:v>0.43049796987291294</c:v>
                </c:pt>
                <c:pt idx="289">
                  <c:v>0.43049796987291294</c:v>
                </c:pt>
                <c:pt idx="290">
                  <c:v>0.43049796987291294</c:v>
                </c:pt>
                <c:pt idx="291">
                  <c:v>0.43049796987291294</c:v>
                </c:pt>
                <c:pt idx="292">
                  <c:v>0.43049796987291294</c:v>
                </c:pt>
                <c:pt idx="293">
                  <c:v>0.43049796987291294</c:v>
                </c:pt>
                <c:pt idx="294">
                  <c:v>0.43049796987291294</c:v>
                </c:pt>
                <c:pt idx="295">
                  <c:v>0.43049796987291294</c:v>
                </c:pt>
                <c:pt idx="296">
                  <c:v>0.43049796987291294</c:v>
                </c:pt>
                <c:pt idx="297">
                  <c:v>0.60432258104552672</c:v>
                </c:pt>
                <c:pt idx="298">
                  <c:v>0.60432258104552672</c:v>
                </c:pt>
                <c:pt idx="299">
                  <c:v>0.60432258104552672</c:v>
                </c:pt>
                <c:pt idx="300">
                  <c:v>0.60432258104552672</c:v>
                </c:pt>
                <c:pt idx="301">
                  <c:v>0.60432258104552672</c:v>
                </c:pt>
                <c:pt idx="302">
                  <c:v>0.60432258104552672</c:v>
                </c:pt>
                <c:pt idx="303">
                  <c:v>0.60432258104552672</c:v>
                </c:pt>
                <c:pt idx="304">
                  <c:v>0.60432258104552672</c:v>
                </c:pt>
                <c:pt idx="305">
                  <c:v>0.60432258104552672</c:v>
                </c:pt>
                <c:pt idx="306">
                  <c:v>0.60432258104552672</c:v>
                </c:pt>
                <c:pt idx="307">
                  <c:v>0.60432258104552672</c:v>
                </c:pt>
                <c:pt idx="308">
                  <c:v>0.60432258104552672</c:v>
                </c:pt>
                <c:pt idx="309">
                  <c:v>0.60432258104552672</c:v>
                </c:pt>
                <c:pt idx="310">
                  <c:v>0.57868552168255538</c:v>
                </c:pt>
                <c:pt idx="311">
                  <c:v>0.57868552168255538</c:v>
                </c:pt>
                <c:pt idx="312">
                  <c:v>0.57868552168255538</c:v>
                </c:pt>
                <c:pt idx="313">
                  <c:v>0.57868552168255538</c:v>
                </c:pt>
                <c:pt idx="314">
                  <c:v>0.57868552168255538</c:v>
                </c:pt>
                <c:pt idx="315">
                  <c:v>0.57868552168255538</c:v>
                </c:pt>
                <c:pt idx="316">
                  <c:v>0.57868552168255538</c:v>
                </c:pt>
                <c:pt idx="317">
                  <c:v>0.57868552168255538</c:v>
                </c:pt>
                <c:pt idx="318">
                  <c:v>0.57868552168255538</c:v>
                </c:pt>
                <c:pt idx="319">
                  <c:v>0.57868552168255538</c:v>
                </c:pt>
                <c:pt idx="320">
                  <c:v>0.57868552168255538</c:v>
                </c:pt>
                <c:pt idx="321">
                  <c:v>0.57868552168255538</c:v>
                </c:pt>
                <c:pt idx="322">
                  <c:v>0.57868552168255538</c:v>
                </c:pt>
                <c:pt idx="323">
                  <c:v>0.45990439118637438</c:v>
                </c:pt>
                <c:pt idx="324">
                  <c:v>0.45990439118637438</c:v>
                </c:pt>
                <c:pt idx="325">
                  <c:v>0.45990439118637438</c:v>
                </c:pt>
                <c:pt idx="326">
                  <c:v>0.45990439118637438</c:v>
                </c:pt>
                <c:pt idx="327">
                  <c:v>0.45990439118637438</c:v>
                </c:pt>
                <c:pt idx="328">
                  <c:v>0.45990439118637438</c:v>
                </c:pt>
                <c:pt idx="329">
                  <c:v>0.45990439118637438</c:v>
                </c:pt>
                <c:pt idx="330">
                  <c:v>0.45990439118637438</c:v>
                </c:pt>
                <c:pt idx="331">
                  <c:v>0.45990439118637438</c:v>
                </c:pt>
                <c:pt idx="332">
                  <c:v>0.45990439118637438</c:v>
                </c:pt>
                <c:pt idx="333">
                  <c:v>0.45990439118637438</c:v>
                </c:pt>
                <c:pt idx="334">
                  <c:v>0.45990439118637438</c:v>
                </c:pt>
                <c:pt idx="335">
                  <c:v>0.45990439118637438</c:v>
                </c:pt>
                <c:pt idx="336">
                  <c:v>0.25438489482009002</c:v>
                </c:pt>
                <c:pt idx="337">
                  <c:v>0.25438489482009002</c:v>
                </c:pt>
                <c:pt idx="338">
                  <c:v>0.25438489482009002</c:v>
                </c:pt>
                <c:pt idx="339">
                  <c:v>0.25438489482009002</c:v>
                </c:pt>
                <c:pt idx="340">
                  <c:v>0.25438489482009002</c:v>
                </c:pt>
                <c:pt idx="341">
                  <c:v>0.25438489482009002</c:v>
                </c:pt>
                <c:pt idx="342">
                  <c:v>0.25438489482009002</c:v>
                </c:pt>
                <c:pt idx="343">
                  <c:v>0.25438489482009002</c:v>
                </c:pt>
                <c:pt idx="344">
                  <c:v>0.25438489482009002</c:v>
                </c:pt>
                <c:pt idx="345">
                  <c:v>0.25438489482009002</c:v>
                </c:pt>
                <c:pt idx="346">
                  <c:v>0.25438489482009002</c:v>
                </c:pt>
                <c:pt idx="347">
                  <c:v>0.25438489482009002</c:v>
                </c:pt>
                <c:pt idx="348">
                  <c:v>0.25438489482009002</c:v>
                </c:pt>
                <c:pt idx="349">
                  <c:v>0.10932235783488234</c:v>
                </c:pt>
                <c:pt idx="350">
                  <c:v>0.10932235783488234</c:v>
                </c:pt>
                <c:pt idx="351">
                  <c:v>0.10932235783488234</c:v>
                </c:pt>
                <c:pt idx="352">
                  <c:v>0.10932235783488234</c:v>
                </c:pt>
                <c:pt idx="353">
                  <c:v>0.10932235783488234</c:v>
                </c:pt>
                <c:pt idx="354">
                  <c:v>0.10932235783488234</c:v>
                </c:pt>
                <c:pt idx="355">
                  <c:v>0.10932235783488234</c:v>
                </c:pt>
                <c:pt idx="356">
                  <c:v>0.10932235783488234</c:v>
                </c:pt>
                <c:pt idx="357">
                  <c:v>0.10932235783488234</c:v>
                </c:pt>
                <c:pt idx="358">
                  <c:v>0.10932235783488234</c:v>
                </c:pt>
                <c:pt idx="359">
                  <c:v>0.10932235783488234</c:v>
                </c:pt>
                <c:pt idx="360">
                  <c:v>0.10932235783488234</c:v>
                </c:pt>
                <c:pt idx="361">
                  <c:v>0.10932235783488234</c:v>
                </c:pt>
                <c:pt idx="362">
                  <c:v>0.10096597161027879</c:v>
                </c:pt>
                <c:pt idx="363">
                  <c:v>0.10096597161027879</c:v>
                </c:pt>
                <c:pt idx="364">
                  <c:v>0.10096597161027879</c:v>
                </c:pt>
                <c:pt idx="365">
                  <c:v>0.10096597161027879</c:v>
                </c:pt>
                <c:pt idx="366">
                  <c:v>0.10096597161027879</c:v>
                </c:pt>
                <c:pt idx="367">
                  <c:v>0.10096597161027879</c:v>
                </c:pt>
                <c:pt idx="368">
                  <c:v>0.10096597161027879</c:v>
                </c:pt>
                <c:pt idx="369">
                  <c:v>0.10096597161027879</c:v>
                </c:pt>
                <c:pt idx="370">
                  <c:v>0.10096597161027879</c:v>
                </c:pt>
                <c:pt idx="371">
                  <c:v>0.10096597161027879</c:v>
                </c:pt>
                <c:pt idx="372">
                  <c:v>0.10096597161027879</c:v>
                </c:pt>
                <c:pt idx="373">
                  <c:v>0.10096597161027879</c:v>
                </c:pt>
                <c:pt idx="374">
                  <c:v>0.10096597161027879</c:v>
                </c:pt>
                <c:pt idx="375">
                  <c:v>0.1805997066759048</c:v>
                </c:pt>
                <c:pt idx="376">
                  <c:v>0.1805997066759048</c:v>
                </c:pt>
                <c:pt idx="377">
                  <c:v>0.1805997066759048</c:v>
                </c:pt>
                <c:pt idx="378">
                  <c:v>0.1805997066759048</c:v>
                </c:pt>
                <c:pt idx="379">
                  <c:v>0.1805997066759048</c:v>
                </c:pt>
                <c:pt idx="380">
                  <c:v>0.1805997066759048</c:v>
                </c:pt>
                <c:pt idx="381">
                  <c:v>0.1805997066759048</c:v>
                </c:pt>
                <c:pt idx="382">
                  <c:v>0.1805997066759048</c:v>
                </c:pt>
                <c:pt idx="383">
                  <c:v>0.1805997066759048</c:v>
                </c:pt>
                <c:pt idx="384">
                  <c:v>0.1805997066759048</c:v>
                </c:pt>
                <c:pt idx="385">
                  <c:v>0.1805997066759048</c:v>
                </c:pt>
                <c:pt idx="386">
                  <c:v>0.1805997066759048</c:v>
                </c:pt>
                <c:pt idx="387">
                  <c:v>0.1805997066759048</c:v>
                </c:pt>
                <c:pt idx="388">
                  <c:v>7.4103195155382148E-2</c:v>
                </c:pt>
                <c:pt idx="389">
                  <c:v>7.4103195155382148E-2</c:v>
                </c:pt>
                <c:pt idx="390">
                  <c:v>7.4103195155382148E-2</c:v>
                </c:pt>
                <c:pt idx="391">
                  <c:v>7.4103195155382148E-2</c:v>
                </c:pt>
                <c:pt idx="392">
                  <c:v>7.4103195155382148E-2</c:v>
                </c:pt>
                <c:pt idx="393">
                  <c:v>7.4103195155382148E-2</c:v>
                </c:pt>
                <c:pt idx="394">
                  <c:v>7.4103195155382148E-2</c:v>
                </c:pt>
                <c:pt idx="395">
                  <c:v>7.4103195155382148E-2</c:v>
                </c:pt>
                <c:pt idx="396">
                  <c:v>7.4103195155382148E-2</c:v>
                </c:pt>
                <c:pt idx="397">
                  <c:v>7.4103195155382148E-2</c:v>
                </c:pt>
                <c:pt idx="398">
                  <c:v>7.4103195155382148E-2</c:v>
                </c:pt>
                <c:pt idx="399">
                  <c:v>7.4103195155382148E-2</c:v>
                </c:pt>
                <c:pt idx="400">
                  <c:v>7.4103195155382148E-2</c:v>
                </c:pt>
                <c:pt idx="401">
                  <c:v>2.8161242371547306E-2</c:v>
                </c:pt>
                <c:pt idx="402">
                  <c:v>2.8161242371547306E-2</c:v>
                </c:pt>
                <c:pt idx="403">
                  <c:v>2.8161242371547306E-2</c:v>
                </c:pt>
                <c:pt idx="404">
                  <c:v>2.8161242371547306E-2</c:v>
                </c:pt>
                <c:pt idx="405">
                  <c:v>2.8161242371547306E-2</c:v>
                </c:pt>
                <c:pt idx="406">
                  <c:v>2.8161242371547306E-2</c:v>
                </c:pt>
                <c:pt idx="407">
                  <c:v>2.8161242371547306E-2</c:v>
                </c:pt>
                <c:pt idx="408">
                  <c:v>2.8161242371547306E-2</c:v>
                </c:pt>
                <c:pt idx="409">
                  <c:v>2.8161242371547306E-2</c:v>
                </c:pt>
                <c:pt idx="410">
                  <c:v>2.8161242371547306E-2</c:v>
                </c:pt>
                <c:pt idx="411">
                  <c:v>2.8161242371547306E-2</c:v>
                </c:pt>
                <c:pt idx="412">
                  <c:v>2.8161242371547306E-2</c:v>
                </c:pt>
                <c:pt idx="413">
                  <c:v>2.8161242371547306E-2</c:v>
                </c:pt>
                <c:pt idx="414">
                  <c:v>8.2832829304679348E-2</c:v>
                </c:pt>
                <c:pt idx="415">
                  <c:v>8.2832829304679348E-2</c:v>
                </c:pt>
                <c:pt idx="416">
                  <c:v>8.2832829304679348E-2</c:v>
                </c:pt>
                <c:pt idx="417">
                  <c:v>8.2832829304679348E-2</c:v>
                </c:pt>
                <c:pt idx="418">
                  <c:v>8.2832829304679348E-2</c:v>
                </c:pt>
                <c:pt idx="419">
                  <c:v>8.2832829304679348E-2</c:v>
                </c:pt>
                <c:pt idx="420">
                  <c:v>8.2832829304679348E-2</c:v>
                </c:pt>
                <c:pt idx="421">
                  <c:v>8.2832829304679348E-2</c:v>
                </c:pt>
                <c:pt idx="422">
                  <c:v>8.2832829304679348E-2</c:v>
                </c:pt>
                <c:pt idx="423">
                  <c:v>8.2832829304679348E-2</c:v>
                </c:pt>
                <c:pt idx="424">
                  <c:v>8.2832829304679348E-2</c:v>
                </c:pt>
                <c:pt idx="425">
                  <c:v>8.2832829304679348E-2</c:v>
                </c:pt>
                <c:pt idx="426">
                  <c:v>8.2832829304679348E-2</c:v>
                </c:pt>
                <c:pt idx="427">
                  <c:v>0.20810403437438857</c:v>
                </c:pt>
                <c:pt idx="428">
                  <c:v>0.20810403437438857</c:v>
                </c:pt>
                <c:pt idx="429">
                  <c:v>0.20810403437438857</c:v>
                </c:pt>
                <c:pt idx="430">
                  <c:v>0.20810403437438857</c:v>
                </c:pt>
                <c:pt idx="431">
                  <c:v>0.20810403437438857</c:v>
                </c:pt>
                <c:pt idx="432">
                  <c:v>0.20810403437438857</c:v>
                </c:pt>
                <c:pt idx="433">
                  <c:v>0.20810403437438857</c:v>
                </c:pt>
                <c:pt idx="434">
                  <c:v>0.20810403437438857</c:v>
                </c:pt>
                <c:pt idx="435">
                  <c:v>0.20810403437438857</c:v>
                </c:pt>
                <c:pt idx="436">
                  <c:v>0.20810403437438857</c:v>
                </c:pt>
                <c:pt idx="437">
                  <c:v>0.20810403437438857</c:v>
                </c:pt>
                <c:pt idx="438">
                  <c:v>0.20810403437438857</c:v>
                </c:pt>
                <c:pt idx="439">
                  <c:v>0.20810403437438857</c:v>
                </c:pt>
                <c:pt idx="440">
                  <c:v>0.47737547631939359</c:v>
                </c:pt>
                <c:pt idx="441">
                  <c:v>0.47737547631939359</c:v>
                </c:pt>
                <c:pt idx="442">
                  <c:v>0.47737547631939359</c:v>
                </c:pt>
                <c:pt idx="443">
                  <c:v>0.47737547631939359</c:v>
                </c:pt>
                <c:pt idx="444">
                  <c:v>0.47737547631939359</c:v>
                </c:pt>
                <c:pt idx="445">
                  <c:v>0.47737547631939359</c:v>
                </c:pt>
                <c:pt idx="446">
                  <c:v>0.47737547631939359</c:v>
                </c:pt>
                <c:pt idx="447">
                  <c:v>0.47737547631939359</c:v>
                </c:pt>
                <c:pt idx="448">
                  <c:v>0.47737547631939359</c:v>
                </c:pt>
                <c:pt idx="449">
                  <c:v>0.47737547631939359</c:v>
                </c:pt>
                <c:pt idx="450">
                  <c:v>0.47737547631939359</c:v>
                </c:pt>
                <c:pt idx="451">
                  <c:v>0.47737547631939359</c:v>
                </c:pt>
                <c:pt idx="452">
                  <c:v>0.47737547631939359</c:v>
                </c:pt>
                <c:pt idx="453">
                  <c:v>0.53868692630848736</c:v>
                </c:pt>
                <c:pt idx="454">
                  <c:v>0.53868692630848736</c:v>
                </c:pt>
                <c:pt idx="455">
                  <c:v>0.53868692630848736</c:v>
                </c:pt>
                <c:pt idx="456">
                  <c:v>0.53868692630848736</c:v>
                </c:pt>
                <c:pt idx="457">
                  <c:v>0.53868692630848736</c:v>
                </c:pt>
                <c:pt idx="458">
                  <c:v>0.53868692630848736</c:v>
                </c:pt>
                <c:pt idx="459">
                  <c:v>0.53868692630848736</c:v>
                </c:pt>
                <c:pt idx="460">
                  <c:v>0.53868692630848736</c:v>
                </c:pt>
                <c:pt idx="461">
                  <c:v>0.53868692630848736</c:v>
                </c:pt>
                <c:pt idx="462">
                  <c:v>0.53868692630848736</c:v>
                </c:pt>
                <c:pt idx="463">
                  <c:v>0.53868692630848736</c:v>
                </c:pt>
                <c:pt idx="464">
                  <c:v>0.53868692630848736</c:v>
                </c:pt>
                <c:pt idx="465">
                  <c:v>0.53868692630848736</c:v>
                </c:pt>
                <c:pt idx="466">
                  <c:v>0.53868692630848736</c:v>
                </c:pt>
                <c:pt idx="467">
                  <c:v>0.43429901886250422</c:v>
                </c:pt>
                <c:pt idx="468">
                  <c:v>0.43429901886250422</c:v>
                </c:pt>
                <c:pt idx="469">
                  <c:v>0.43429901886250422</c:v>
                </c:pt>
                <c:pt idx="470">
                  <c:v>0.43429901886250422</c:v>
                </c:pt>
                <c:pt idx="471">
                  <c:v>0.43429901886250422</c:v>
                </c:pt>
                <c:pt idx="472">
                  <c:v>0.43429901886250422</c:v>
                </c:pt>
                <c:pt idx="473">
                  <c:v>0.43429901886250422</c:v>
                </c:pt>
                <c:pt idx="474">
                  <c:v>0.43429901886250422</c:v>
                </c:pt>
                <c:pt idx="475">
                  <c:v>0.43429901886250422</c:v>
                </c:pt>
                <c:pt idx="476">
                  <c:v>0.43429901886250422</c:v>
                </c:pt>
                <c:pt idx="477">
                  <c:v>0.43429901886250422</c:v>
                </c:pt>
                <c:pt idx="478">
                  <c:v>0.43429901886250422</c:v>
                </c:pt>
                <c:pt idx="479">
                  <c:v>0.43429901886250422</c:v>
                </c:pt>
                <c:pt idx="480">
                  <c:v>0.38033408254752099</c:v>
                </c:pt>
                <c:pt idx="481">
                  <c:v>0.38033408254752099</c:v>
                </c:pt>
                <c:pt idx="482">
                  <c:v>0.38033408254752099</c:v>
                </c:pt>
                <c:pt idx="483">
                  <c:v>0.38033408254752099</c:v>
                </c:pt>
                <c:pt idx="484">
                  <c:v>0.38033408254752099</c:v>
                </c:pt>
                <c:pt idx="485">
                  <c:v>0.38033408254752099</c:v>
                </c:pt>
                <c:pt idx="486">
                  <c:v>0.38033408254752099</c:v>
                </c:pt>
                <c:pt idx="487">
                  <c:v>0.38033408254752099</c:v>
                </c:pt>
                <c:pt idx="488">
                  <c:v>0.38033408254752099</c:v>
                </c:pt>
                <c:pt idx="489">
                  <c:v>0.38033408254752099</c:v>
                </c:pt>
                <c:pt idx="490">
                  <c:v>0.38033408254752099</c:v>
                </c:pt>
                <c:pt idx="491">
                  <c:v>0.38033408254752099</c:v>
                </c:pt>
                <c:pt idx="492">
                  <c:v>0.38033408254752099</c:v>
                </c:pt>
                <c:pt idx="493">
                  <c:v>0.65981087465954547</c:v>
                </c:pt>
                <c:pt idx="494">
                  <c:v>0.65981087465954547</c:v>
                </c:pt>
                <c:pt idx="495">
                  <c:v>0.65981087465954547</c:v>
                </c:pt>
                <c:pt idx="496">
                  <c:v>0.65981087465954547</c:v>
                </c:pt>
                <c:pt idx="497">
                  <c:v>0.65981087465954547</c:v>
                </c:pt>
                <c:pt idx="498">
                  <c:v>0.65981087465954547</c:v>
                </c:pt>
                <c:pt idx="499">
                  <c:v>0.65981087465954547</c:v>
                </c:pt>
                <c:pt idx="500">
                  <c:v>0.65981087465954547</c:v>
                </c:pt>
                <c:pt idx="501">
                  <c:v>0.65981087465954547</c:v>
                </c:pt>
                <c:pt idx="502">
                  <c:v>0.65981087465954547</c:v>
                </c:pt>
                <c:pt idx="503">
                  <c:v>0.65981087465954547</c:v>
                </c:pt>
                <c:pt idx="504">
                  <c:v>0.65981087465954547</c:v>
                </c:pt>
                <c:pt idx="505">
                  <c:v>0.65981087465954547</c:v>
                </c:pt>
                <c:pt idx="506">
                  <c:v>0.62595781951145746</c:v>
                </c:pt>
                <c:pt idx="507">
                  <c:v>0.62595781951145746</c:v>
                </c:pt>
                <c:pt idx="508">
                  <c:v>0.62595781951145746</c:v>
                </c:pt>
                <c:pt idx="509">
                  <c:v>0.62595781951145746</c:v>
                </c:pt>
                <c:pt idx="510">
                  <c:v>0.62595781951145746</c:v>
                </c:pt>
                <c:pt idx="511">
                  <c:v>0.62595781951145746</c:v>
                </c:pt>
                <c:pt idx="512">
                  <c:v>0.62595781951145746</c:v>
                </c:pt>
                <c:pt idx="513">
                  <c:v>0.62595781951145746</c:v>
                </c:pt>
                <c:pt idx="514">
                  <c:v>0.62595781951145746</c:v>
                </c:pt>
                <c:pt idx="515">
                  <c:v>0.62595781951145746</c:v>
                </c:pt>
                <c:pt idx="516">
                  <c:v>0.62595781951145746</c:v>
                </c:pt>
                <c:pt idx="517">
                  <c:v>0.62595781951145746</c:v>
                </c:pt>
                <c:pt idx="518">
                  <c:v>0.62595781951145746</c:v>
                </c:pt>
                <c:pt idx="519">
                  <c:v>0.5476505541389225</c:v>
                </c:pt>
                <c:pt idx="520">
                  <c:v>0.5476505541389225</c:v>
                </c:pt>
                <c:pt idx="521">
                  <c:v>0.5476505541389225</c:v>
                </c:pt>
                <c:pt idx="522">
                  <c:v>0.5476505541389225</c:v>
                </c:pt>
                <c:pt idx="523">
                  <c:v>0.5476505541389225</c:v>
                </c:pt>
                <c:pt idx="524">
                  <c:v>0.5476505541389225</c:v>
                </c:pt>
                <c:pt idx="525">
                  <c:v>0.5476505541389225</c:v>
                </c:pt>
                <c:pt idx="526">
                  <c:v>0.5476505541389225</c:v>
                </c:pt>
                <c:pt idx="527">
                  <c:v>0.5476505541389225</c:v>
                </c:pt>
                <c:pt idx="528">
                  <c:v>0.5476505541389225</c:v>
                </c:pt>
                <c:pt idx="529">
                  <c:v>0.5476505541389225</c:v>
                </c:pt>
                <c:pt idx="530">
                  <c:v>0.5476505541389225</c:v>
                </c:pt>
                <c:pt idx="531">
                  <c:v>0.5476505541389225</c:v>
                </c:pt>
                <c:pt idx="532">
                  <c:v>0.59950922361818182</c:v>
                </c:pt>
                <c:pt idx="533">
                  <c:v>0.59950922361818182</c:v>
                </c:pt>
                <c:pt idx="534">
                  <c:v>0.59950922361818182</c:v>
                </c:pt>
                <c:pt idx="535">
                  <c:v>0.59950922361818182</c:v>
                </c:pt>
                <c:pt idx="536">
                  <c:v>0.59950922361818182</c:v>
                </c:pt>
                <c:pt idx="537">
                  <c:v>0.59950922361818182</c:v>
                </c:pt>
                <c:pt idx="538">
                  <c:v>0.59950922361818182</c:v>
                </c:pt>
                <c:pt idx="539">
                  <c:v>0.59950922361818182</c:v>
                </c:pt>
                <c:pt idx="540">
                  <c:v>0.59950922361818182</c:v>
                </c:pt>
                <c:pt idx="541">
                  <c:v>0.59950922361818182</c:v>
                </c:pt>
                <c:pt idx="542">
                  <c:v>0.59950922361818182</c:v>
                </c:pt>
                <c:pt idx="543">
                  <c:v>0.59950922361818182</c:v>
                </c:pt>
                <c:pt idx="544">
                  <c:v>0.59950922361818182</c:v>
                </c:pt>
                <c:pt idx="545">
                  <c:v>0.51393563137235465</c:v>
                </c:pt>
                <c:pt idx="546">
                  <c:v>0.51393563137235465</c:v>
                </c:pt>
                <c:pt idx="547">
                  <c:v>0.51393563137235465</c:v>
                </c:pt>
                <c:pt idx="548">
                  <c:v>0.51393563137235465</c:v>
                </c:pt>
                <c:pt idx="549">
                  <c:v>0.51393563137235465</c:v>
                </c:pt>
                <c:pt idx="550">
                  <c:v>0.51393563137235465</c:v>
                </c:pt>
                <c:pt idx="551">
                  <c:v>0.51393563137235465</c:v>
                </c:pt>
                <c:pt idx="552">
                  <c:v>0.51393563137235465</c:v>
                </c:pt>
                <c:pt idx="553">
                  <c:v>0.51393563137235465</c:v>
                </c:pt>
                <c:pt idx="554">
                  <c:v>0.51393563137235465</c:v>
                </c:pt>
                <c:pt idx="555">
                  <c:v>0.51393563137235465</c:v>
                </c:pt>
                <c:pt idx="556">
                  <c:v>0.51393563137235465</c:v>
                </c:pt>
                <c:pt idx="557">
                  <c:v>0.51393563137235465</c:v>
                </c:pt>
                <c:pt idx="558">
                  <c:v>0.46672649182491821</c:v>
                </c:pt>
                <c:pt idx="559">
                  <c:v>0.46672649182491821</c:v>
                </c:pt>
                <c:pt idx="560">
                  <c:v>0.46672649182491821</c:v>
                </c:pt>
                <c:pt idx="561">
                  <c:v>0.46672649182491821</c:v>
                </c:pt>
                <c:pt idx="562">
                  <c:v>0.46672649182491821</c:v>
                </c:pt>
                <c:pt idx="563">
                  <c:v>0.46672649182491821</c:v>
                </c:pt>
                <c:pt idx="564">
                  <c:v>0.46672649182491821</c:v>
                </c:pt>
                <c:pt idx="565">
                  <c:v>0.46672649182491821</c:v>
                </c:pt>
                <c:pt idx="566">
                  <c:v>0.46672649182491821</c:v>
                </c:pt>
                <c:pt idx="567">
                  <c:v>0.46672649182491821</c:v>
                </c:pt>
                <c:pt idx="568">
                  <c:v>0.46672649182491821</c:v>
                </c:pt>
                <c:pt idx="569">
                  <c:v>0.46672649182491821</c:v>
                </c:pt>
                <c:pt idx="570">
                  <c:v>0.46672649182491821</c:v>
                </c:pt>
                <c:pt idx="571">
                  <c:v>0.49263975797234039</c:v>
                </c:pt>
                <c:pt idx="572">
                  <c:v>0.49263975797234039</c:v>
                </c:pt>
                <c:pt idx="573">
                  <c:v>0.49263975797234039</c:v>
                </c:pt>
                <c:pt idx="574">
                  <c:v>0.49263975797234039</c:v>
                </c:pt>
                <c:pt idx="575">
                  <c:v>0.49263975797234039</c:v>
                </c:pt>
                <c:pt idx="576">
                  <c:v>0.49263975797234039</c:v>
                </c:pt>
                <c:pt idx="577">
                  <c:v>0.49263975797234039</c:v>
                </c:pt>
                <c:pt idx="578">
                  <c:v>0.49263975797234039</c:v>
                </c:pt>
                <c:pt idx="579">
                  <c:v>0.49263975797234039</c:v>
                </c:pt>
                <c:pt idx="580">
                  <c:v>0.49263975797234039</c:v>
                </c:pt>
                <c:pt idx="581">
                  <c:v>0.49263975797234039</c:v>
                </c:pt>
                <c:pt idx="582">
                  <c:v>0.49263975797234039</c:v>
                </c:pt>
                <c:pt idx="583">
                  <c:v>0.49263975797234039</c:v>
                </c:pt>
                <c:pt idx="584">
                  <c:v>0.41439845435073508</c:v>
                </c:pt>
                <c:pt idx="585">
                  <c:v>0.41439845435073508</c:v>
                </c:pt>
                <c:pt idx="586">
                  <c:v>0.41439845435073508</c:v>
                </c:pt>
                <c:pt idx="587">
                  <c:v>0.41439845435073508</c:v>
                </c:pt>
                <c:pt idx="588">
                  <c:v>0.41439845435073508</c:v>
                </c:pt>
                <c:pt idx="589">
                  <c:v>0.41439845435073508</c:v>
                </c:pt>
                <c:pt idx="590">
                  <c:v>0.41439845435073508</c:v>
                </c:pt>
                <c:pt idx="591">
                  <c:v>0.41439845435073508</c:v>
                </c:pt>
                <c:pt idx="592">
                  <c:v>0.41439845435073508</c:v>
                </c:pt>
                <c:pt idx="593">
                  <c:v>0.41439845435073508</c:v>
                </c:pt>
                <c:pt idx="594">
                  <c:v>0.41439845435073508</c:v>
                </c:pt>
                <c:pt idx="595">
                  <c:v>0.41439845435073508</c:v>
                </c:pt>
                <c:pt idx="596">
                  <c:v>0.41439845435073508</c:v>
                </c:pt>
                <c:pt idx="597">
                  <c:v>0.20766709993565094</c:v>
                </c:pt>
                <c:pt idx="598">
                  <c:v>0.20766709993565094</c:v>
                </c:pt>
                <c:pt idx="599">
                  <c:v>0.20766709993565094</c:v>
                </c:pt>
                <c:pt idx="600">
                  <c:v>0.20766709993565094</c:v>
                </c:pt>
                <c:pt idx="601">
                  <c:v>0.20766709993565094</c:v>
                </c:pt>
                <c:pt idx="602">
                  <c:v>0.20766709993565094</c:v>
                </c:pt>
                <c:pt idx="603">
                  <c:v>0.20766709993565094</c:v>
                </c:pt>
                <c:pt idx="604">
                  <c:v>0.20766709993565094</c:v>
                </c:pt>
                <c:pt idx="605">
                  <c:v>0.20766709993565094</c:v>
                </c:pt>
                <c:pt idx="606">
                  <c:v>0.20766709993565094</c:v>
                </c:pt>
                <c:pt idx="607">
                  <c:v>0.20766709993565094</c:v>
                </c:pt>
                <c:pt idx="608">
                  <c:v>0.20766709993565094</c:v>
                </c:pt>
                <c:pt idx="609">
                  <c:v>0.20766709993565094</c:v>
                </c:pt>
                <c:pt idx="610">
                  <c:v>0.24382699705150662</c:v>
                </c:pt>
                <c:pt idx="611">
                  <c:v>0.24382699705150662</c:v>
                </c:pt>
                <c:pt idx="612">
                  <c:v>0.24382699705150662</c:v>
                </c:pt>
                <c:pt idx="613">
                  <c:v>0.24382699705150662</c:v>
                </c:pt>
                <c:pt idx="614">
                  <c:v>0.24382699705150662</c:v>
                </c:pt>
                <c:pt idx="615">
                  <c:v>0.24382699705150662</c:v>
                </c:pt>
                <c:pt idx="616">
                  <c:v>0.24382699705150662</c:v>
                </c:pt>
                <c:pt idx="617">
                  <c:v>0.24382699705150662</c:v>
                </c:pt>
                <c:pt idx="618">
                  <c:v>0.24382699705150662</c:v>
                </c:pt>
                <c:pt idx="619">
                  <c:v>0.24382699705150662</c:v>
                </c:pt>
                <c:pt idx="620">
                  <c:v>0.24382699705150662</c:v>
                </c:pt>
                <c:pt idx="621">
                  <c:v>0.24382699705150662</c:v>
                </c:pt>
                <c:pt idx="622">
                  <c:v>0.24382699705150662</c:v>
                </c:pt>
                <c:pt idx="623">
                  <c:v>0.33367199564291672</c:v>
                </c:pt>
                <c:pt idx="624">
                  <c:v>0.33367199564291672</c:v>
                </c:pt>
                <c:pt idx="625">
                  <c:v>0.33367199564291672</c:v>
                </c:pt>
                <c:pt idx="626">
                  <c:v>0.33367199564291672</c:v>
                </c:pt>
                <c:pt idx="627">
                  <c:v>0.33367199564291672</c:v>
                </c:pt>
                <c:pt idx="628">
                  <c:v>0.33367199564291672</c:v>
                </c:pt>
                <c:pt idx="629">
                  <c:v>0.33367199564291672</c:v>
                </c:pt>
                <c:pt idx="630">
                  <c:v>0.33367199564291672</c:v>
                </c:pt>
                <c:pt idx="631">
                  <c:v>0.33367199564291672</c:v>
                </c:pt>
                <c:pt idx="632">
                  <c:v>0.33367199564291672</c:v>
                </c:pt>
                <c:pt idx="633">
                  <c:v>0.33367199564291672</c:v>
                </c:pt>
                <c:pt idx="634">
                  <c:v>0.33367199564291672</c:v>
                </c:pt>
                <c:pt idx="635">
                  <c:v>0.33367199564291672</c:v>
                </c:pt>
                <c:pt idx="636">
                  <c:v>0.19076304322415094</c:v>
                </c:pt>
                <c:pt idx="637">
                  <c:v>0.19076304322415094</c:v>
                </c:pt>
                <c:pt idx="638">
                  <c:v>0.19076304322415094</c:v>
                </c:pt>
                <c:pt idx="639">
                  <c:v>0.19076304322415094</c:v>
                </c:pt>
                <c:pt idx="640">
                  <c:v>0.19076304322415094</c:v>
                </c:pt>
                <c:pt idx="641">
                  <c:v>0.19076304322415094</c:v>
                </c:pt>
                <c:pt idx="642">
                  <c:v>0.19076304322415094</c:v>
                </c:pt>
                <c:pt idx="643">
                  <c:v>0.19076304322415094</c:v>
                </c:pt>
                <c:pt idx="644">
                  <c:v>0.19076304322415094</c:v>
                </c:pt>
                <c:pt idx="645">
                  <c:v>0.19076304322415094</c:v>
                </c:pt>
                <c:pt idx="646">
                  <c:v>0.19076304322415094</c:v>
                </c:pt>
                <c:pt idx="647">
                  <c:v>0.19076304322415094</c:v>
                </c:pt>
                <c:pt idx="648">
                  <c:v>0.19076304322415094</c:v>
                </c:pt>
                <c:pt idx="649">
                  <c:v>0.1547783229290815</c:v>
                </c:pt>
                <c:pt idx="650">
                  <c:v>0.1547783229290815</c:v>
                </c:pt>
                <c:pt idx="651">
                  <c:v>0.1547783229290815</c:v>
                </c:pt>
                <c:pt idx="652">
                  <c:v>0.1547783229290815</c:v>
                </c:pt>
                <c:pt idx="653">
                  <c:v>0.1547783229290815</c:v>
                </c:pt>
                <c:pt idx="654">
                  <c:v>0.1547783229290815</c:v>
                </c:pt>
                <c:pt idx="655">
                  <c:v>0.1547783229290815</c:v>
                </c:pt>
                <c:pt idx="656">
                  <c:v>0.1547783229290815</c:v>
                </c:pt>
                <c:pt idx="657">
                  <c:v>0.1547783229290815</c:v>
                </c:pt>
                <c:pt idx="658">
                  <c:v>0.1547783229290815</c:v>
                </c:pt>
                <c:pt idx="659">
                  <c:v>0.1547783229290815</c:v>
                </c:pt>
                <c:pt idx="660">
                  <c:v>0.1547783229290815</c:v>
                </c:pt>
                <c:pt idx="661">
                  <c:v>0.1547783229290815</c:v>
                </c:pt>
                <c:pt idx="662">
                  <c:v>1.4366060843360243E-2</c:v>
                </c:pt>
                <c:pt idx="663">
                  <c:v>1.4366060843360243E-2</c:v>
                </c:pt>
                <c:pt idx="664">
                  <c:v>1.4366060843360243E-2</c:v>
                </c:pt>
                <c:pt idx="665">
                  <c:v>1.4366060843360243E-2</c:v>
                </c:pt>
                <c:pt idx="666">
                  <c:v>1.4366060843360243E-2</c:v>
                </c:pt>
                <c:pt idx="667">
                  <c:v>1.4366060843360243E-2</c:v>
                </c:pt>
                <c:pt idx="668">
                  <c:v>1.4366060843360243E-2</c:v>
                </c:pt>
                <c:pt idx="669">
                  <c:v>1.4366060843360243E-2</c:v>
                </c:pt>
                <c:pt idx="670">
                  <c:v>1.4366060843360243E-2</c:v>
                </c:pt>
                <c:pt idx="671">
                  <c:v>1.4366060843360243E-2</c:v>
                </c:pt>
                <c:pt idx="672">
                  <c:v>1.4366060843360243E-2</c:v>
                </c:pt>
                <c:pt idx="673">
                  <c:v>1.4366060843360243E-2</c:v>
                </c:pt>
                <c:pt idx="674">
                  <c:v>1.4366060843360243E-2</c:v>
                </c:pt>
                <c:pt idx="675">
                  <c:v>-6.5393708985575658E-2</c:v>
                </c:pt>
                <c:pt idx="676">
                  <c:v>-6.5393708985575658E-2</c:v>
                </c:pt>
                <c:pt idx="677">
                  <c:v>-6.5393708985575658E-2</c:v>
                </c:pt>
                <c:pt idx="678">
                  <c:v>-6.5393708985575658E-2</c:v>
                </c:pt>
                <c:pt idx="679">
                  <c:v>-6.5393708985575658E-2</c:v>
                </c:pt>
                <c:pt idx="680">
                  <c:v>-6.5393708985575658E-2</c:v>
                </c:pt>
                <c:pt idx="681">
                  <c:v>-6.5393708985575658E-2</c:v>
                </c:pt>
                <c:pt idx="682">
                  <c:v>-6.5393708985575658E-2</c:v>
                </c:pt>
                <c:pt idx="683">
                  <c:v>-6.5393708985575658E-2</c:v>
                </c:pt>
                <c:pt idx="684">
                  <c:v>-6.5393708985575658E-2</c:v>
                </c:pt>
                <c:pt idx="685">
                  <c:v>-6.5393708985575658E-2</c:v>
                </c:pt>
                <c:pt idx="686">
                  <c:v>-6.5393708985575658E-2</c:v>
                </c:pt>
                <c:pt idx="687">
                  <c:v>-6.5393708985575658E-2</c:v>
                </c:pt>
                <c:pt idx="688">
                  <c:v>-0.21852202429975609</c:v>
                </c:pt>
                <c:pt idx="689">
                  <c:v>-0.21852202429975609</c:v>
                </c:pt>
                <c:pt idx="690">
                  <c:v>-0.21852202429975609</c:v>
                </c:pt>
                <c:pt idx="691">
                  <c:v>-0.21852202429975609</c:v>
                </c:pt>
                <c:pt idx="692">
                  <c:v>-0.21852202429975609</c:v>
                </c:pt>
                <c:pt idx="693">
                  <c:v>-0.21852202429975609</c:v>
                </c:pt>
                <c:pt idx="694">
                  <c:v>-0.21852202429975609</c:v>
                </c:pt>
                <c:pt idx="695">
                  <c:v>-0.21852202429975609</c:v>
                </c:pt>
                <c:pt idx="696">
                  <c:v>-0.21852202429975609</c:v>
                </c:pt>
                <c:pt idx="697">
                  <c:v>-0.21852202429975609</c:v>
                </c:pt>
                <c:pt idx="698">
                  <c:v>-0.21852202429975609</c:v>
                </c:pt>
                <c:pt idx="699">
                  <c:v>-0.21852202429975609</c:v>
                </c:pt>
                <c:pt idx="700">
                  <c:v>-0.21852202429975609</c:v>
                </c:pt>
                <c:pt idx="701">
                  <c:v>-0.33050202769037967</c:v>
                </c:pt>
                <c:pt idx="702">
                  <c:v>-0.33050202769037967</c:v>
                </c:pt>
                <c:pt idx="703">
                  <c:v>-0.33050202769037967</c:v>
                </c:pt>
                <c:pt idx="704">
                  <c:v>-0.33050202769037967</c:v>
                </c:pt>
                <c:pt idx="705">
                  <c:v>-0.33050202769037967</c:v>
                </c:pt>
                <c:pt idx="706">
                  <c:v>-0.33050202769037967</c:v>
                </c:pt>
                <c:pt idx="707">
                  <c:v>-0.33050202769037967</c:v>
                </c:pt>
                <c:pt idx="708">
                  <c:v>-0.33050202769037967</c:v>
                </c:pt>
                <c:pt idx="709">
                  <c:v>-0.33050202769037967</c:v>
                </c:pt>
                <c:pt idx="710">
                  <c:v>-0.33050202769037967</c:v>
                </c:pt>
                <c:pt idx="711">
                  <c:v>-0.33050202769037967</c:v>
                </c:pt>
                <c:pt idx="712">
                  <c:v>-0.33050202769037967</c:v>
                </c:pt>
                <c:pt idx="713">
                  <c:v>-0.33050202769037967</c:v>
                </c:pt>
                <c:pt idx="714">
                  <c:v>-0.43573992065970485</c:v>
                </c:pt>
                <c:pt idx="715">
                  <c:v>-0.43573992065970485</c:v>
                </c:pt>
                <c:pt idx="716">
                  <c:v>-0.43573992065970485</c:v>
                </c:pt>
                <c:pt idx="717">
                  <c:v>-0.43573992065970485</c:v>
                </c:pt>
                <c:pt idx="718">
                  <c:v>-0.43573992065970485</c:v>
                </c:pt>
                <c:pt idx="719">
                  <c:v>-0.43573992065970485</c:v>
                </c:pt>
                <c:pt idx="720">
                  <c:v>-0.43573992065970485</c:v>
                </c:pt>
                <c:pt idx="721">
                  <c:v>-0.43573992065970485</c:v>
                </c:pt>
                <c:pt idx="722">
                  <c:v>-0.43573992065970485</c:v>
                </c:pt>
                <c:pt idx="723">
                  <c:v>-0.43573992065970485</c:v>
                </c:pt>
                <c:pt idx="724">
                  <c:v>-0.43573992065970485</c:v>
                </c:pt>
                <c:pt idx="725">
                  <c:v>-0.43573992065970485</c:v>
                </c:pt>
                <c:pt idx="726">
                  <c:v>-0.43573992065970485</c:v>
                </c:pt>
                <c:pt idx="727">
                  <c:v>-0.43573992065970485</c:v>
                </c:pt>
                <c:pt idx="728">
                  <c:v>-0.37169266150775881</c:v>
                </c:pt>
                <c:pt idx="729">
                  <c:v>-0.37169266150775881</c:v>
                </c:pt>
                <c:pt idx="730">
                  <c:v>-0.37169266150775881</c:v>
                </c:pt>
                <c:pt idx="731">
                  <c:v>-0.37169266150775881</c:v>
                </c:pt>
                <c:pt idx="732">
                  <c:v>-0.37169266150775881</c:v>
                </c:pt>
                <c:pt idx="733">
                  <c:v>-0.37169266150775881</c:v>
                </c:pt>
                <c:pt idx="734">
                  <c:v>-0.37169266150775881</c:v>
                </c:pt>
                <c:pt idx="735">
                  <c:v>-0.37169266150775881</c:v>
                </c:pt>
                <c:pt idx="736">
                  <c:v>-0.37169266150775881</c:v>
                </c:pt>
                <c:pt idx="737">
                  <c:v>-0.37169266150775881</c:v>
                </c:pt>
                <c:pt idx="738">
                  <c:v>-0.37169266150775881</c:v>
                </c:pt>
                <c:pt idx="739">
                  <c:v>-0.37169266150775881</c:v>
                </c:pt>
                <c:pt idx="740">
                  <c:v>-0.43416371804035719</c:v>
                </c:pt>
                <c:pt idx="741">
                  <c:v>-0.43416371804035719</c:v>
                </c:pt>
                <c:pt idx="742">
                  <c:v>-0.43416371804035719</c:v>
                </c:pt>
                <c:pt idx="743">
                  <c:v>-0.43416371804035719</c:v>
                </c:pt>
                <c:pt idx="744">
                  <c:v>-0.43416371804035719</c:v>
                </c:pt>
                <c:pt idx="745">
                  <c:v>-0.43416371804035719</c:v>
                </c:pt>
                <c:pt idx="746">
                  <c:v>-0.43416371804035719</c:v>
                </c:pt>
                <c:pt idx="747">
                  <c:v>-0.43416371804035719</c:v>
                </c:pt>
                <c:pt idx="748">
                  <c:v>-0.43416371804035719</c:v>
                </c:pt>
                <c:pt idx="749">
                  <c:v>-0.43416371804035719</c:v>
                </c:pt>
                <c:pt idx="750">
                  <c:v>-0.43416371804035719</c:v>
                </c:pt>
                <c:pt idx="751">
                  <c:v>-0.43416371804035719</c:v>
                </c:pt>
                <c:pt idx="752">
                  <c:v>-0.43416371804035719</c:v>
                </c:pt>
                <c:pt idx="753">
                  <c:v>-0.37040584977420721</c:v>
                </c:pt>
                <c:pt idx="754">
                  <c:v>-0.37040584977420721</c:v>
                </c:pt>
                <c:pt idx="755">
                  <c:v>-0.37040584977420721</c:v>
                </c:pt>
                <c:pt idx="756">
                  <c:v>-0.37040584977420721</c:v>
                </c:pt>
                <c:pt idx="757">
                  <c:v>-0.37040584977420721</c:v>
                </c:pt>
                <c:pt idx="758">
                  <c:v>-0.37040584977420721</c:v>
                </c:pt>
                <c:pt idx="759">
                  <c:v>-0.37040584977420721</c:v>
                </c:pt>
                <c:pt idx="760">
                  <c:v>-0.37040584977420721</c:v>
                </c:pt>
                <c:pt idx="761">
                  <c:v>-0.37040584977420721</c:v>
                </c:pt>
                <c:pt idx="762">
                  <c:v>-0.37040584977420721</c:v>
                </c:pt>
                <c:pt idx="763">
                  <c:v>-0.37040584977420721</c:v>
                </c:pt>
                <c:pt idx="764">
                  <c:v>-0.37040584977420721</c:v>
                </c:pt>
                <c:pt idx="765">
                  <c:v>-0.37040584977420721</c:v>
                </c:pt>
                <c:pt idx="766">
                  <c:v>-0.37040584977420721</c:v>
                </c:pt>
                <c:pt idx="767">
                  <c:v>-0.31320381292598665</c:v>
                </c:pt>
                <c:pt idx="768">
                  <c:v>-0.31320381292598665</c:v>
                </c:pt>
                <c:pt idx="769">
                  <c:v>-0.31320381292598665</c:v>
                </c:pt>
                <c:pt idx="770">
                  <c:v>-0.31320381292598665</c:v>
                </c:pt>
                <c:pt idx="771">
                  <c:v>-0.31320381292598665</c:v>
                </c:pt>
                <c:pt idx="772">
                  <c:v>-0.31320381292598665</c:v>
                </c:pt>
                <c:pt idx="773">
                  <c:v>-0.31320381292598665</c:v>
                </c:pt>
                <c:pt idx="774">
                  <c:v>-0.31320381292598665</c:v>
                </c:pt>
                <c:pt idx="775">
                  <c:v>-0.31320381292598665</c:v>
                </c:pt>
                <c:pt idx="776">
                  <c:v>-0.31320381292598665</c:v>
                </c:pt>
                <c:pt idx="777">
                  <c:v>-0.31320381292598665</c:v>
                </c:pt>
                <c:pt idx="778">
                  <c:v>-0.31320381292598665</c:v>
                </c:pt>
                <c:pt idx="779">
                  <c:v>-0.31320381292598665</c:v>
                </c:pt>
                <c:pt idx="780">
                  <c:v>-0.25541802899701282</c:v>
                </c:pt>
                <c:pt idx="781">
                  <c:v>-0.25541802899701282</c:v>
                </c:pt>
                <c:pt idx="782">
                  <c:v>-0.25541802899701282</c:v>
                </c:pt>
                <c:pt idx="783">
                  <c:v>-0.25541802899701282</c:v>
                </c:pt>
                <c:pt idx="784">
                  <c:v>-0.25541802899701282</c:v>
                </c:pt>
                <c:pt idx="785">
                  <c:v>-0.25541802899701282</c:v>
                </c:pt>
                <c:pt idx="786">
                  <c:v>-0.25541802899701282</c:v>
                </c:pt>
                <c:pt idx="787">
                  <c:v>-0.25541802899701282</c:v>
                </c:pt>
                <c:pt idx="788">
                  <c:v>-0.25541802899701282</c:v>
                </c:pt>
                <c:pt idx="789">
                  <c:v>-0.25541802899701282</c:v>
                </c:pt>
                <c:pt idx="790">
                  <c:v>-0.25541802899701282</c:v>
                </c:pt>
                <c:pt idx="791">
                  <c:v>-0.25541802899701282</c:v>
                </c:pt>
                <c:pt idx="792">
                  <c:v>-0.25541802899701282</c:v>
                </c:pt>
                <c:pt idx="793">
                  <c:v>-0.27378823007670638</c:v>
                </c:pt>
                <c:pt idx="794">
                  <c:v>-0.27378823007670638</c:v>
                </c:pt>
                <c:pt idx="795">
                  <c:v>-0.27378823007670638</c:v>
                </c:pt>
                <c:pt idx="796">
                  <c:v>-0.27378823007670638</c:v>
                </c:pt>
                <c:pt idx="797">
                  <c:v>-0.27378823007670638</c:v>
                </c:pt>
                <c:pt idx="798">
                  <c:v>-0.27378823007670638</c:v>
                </c:pt>
                <c:pt idx="799">
                  <c:v>-0.27378823007670638</c:v>
                </c:pt>
                <c:pt idx="800">
                  <c:v>-0.27378823007670638</c:v>
                </c:pt>
                <c:pt idx="801">
                  <c:v>-0.27378823007670638</c:v>
                </c:pt>
                <c:pt idx="802">
                  <c:v>-0.27378823007670638</c:v>
                </c:pt>
                <c:pt idx="803">
                  <c:v>-0.27378823007670638</c:v>
                </c:pt>
                <c:pt idx="804">
                  <c:v>-0.27378823007670638</c:v>
                </c:pt>
                <c:pt idx="805">
                  <c:v>-0.27378823007670638</c:v>
                </c:pt>
                <c:pt idx="806">
                  <c:v>-0.3052456723811795</c:v>
                </c:pt>
                <c:pt idx="807">
                  <c:v>-0.3052456723811795</c:v>
                </c:pt>
                <c:pt idx="808">
                  <c:v>-0.3052456723811795</c:v>
                </c:pt>
                <c:pt idx="809">
                  <c:v>-0.3052456723811795</c:v>
                </c:pt>
                <c:pt idx="810">
                  <c:v>-0.3052456723811795</c:v>
                </c:pt>
                <c:pt idx="811">
                  <c:v>-0.3052456723811795</c:v>
                </c:pt>
                <c:pt idx="812">
                  <c:v>-0.3052456723811795</c:v>
                </c:pt>
                <c:pt idx="813">
                  <c:v>-0.3052456723811795</c:v>
                </c:pt>
                <c:pt idx="814">
                  <c:v>-0.3052456723811795</c:v>
                </c:pt>
                <c:pt idx="815">
                  <c:v>-0.3052456723811795</c:v>
                </c:pt>
                <c:pt idx="816">
                  <c:v>-0.3052456723811795</c:v>
                </c:pt>
                <c:pt idx="817">
                  <c:v>-0.3052456723811795</c:v>
                </c:pt>
                <c:pt idx="818">
                  <c:v>-0.3052456723811795</c:v>
                </c:pt>
                <c:pt idx="819">
                  <c:v>-0.43400436598004444</c:v>
                </c:pt>
                <c:pt idx="820">
                  <c:v>-0.43400436598004444</c:v>
                </c:pt>
                <c:pt idx="821">
                  <c:v>-0.43400436598004444</c:v>
                </c:pt>
                <c:pt idx="822">
                  <c:v>-0.43400436598004444</c:v>
                </c:pt>
                <c:pt idx="823">
                  <c:v>-0.43400436598004444</c:v>
                </c:pt>
                <c:pt idx="824">
                  <c:v>-0.43400436598004444</c:v>
                </c:pt>
                <c:pt idx="825">
                  <c:v>-0.43400436598004444</c:v>
                </c:pt>
                <c:pt idx="826">
                  <c:v>-0.43400436598004444</c:v>
                </c:pt>
                <c:pt idx="827">
                  <c:v>-0.43400436598004444</c:v>
                </c:pt>
                <c:pt idx="828">
                  <c:v>-0.43400436598004444</c:v>
                </c:pt>
                <c:pt idx="829">
                  <c:v>-0.43400436598004444</c:v>
                </c:pt>
                <c:pt idx="830">
                  <c:v>-0.43400436598004444</c:v>
                </c:pt>
                <c:pt idx="831">
                  <c:v>-0.43400436598004444</c:v>
                </c:pt>
                <c:pt idx="832">
                  <c:v>-0.28426561821781682</c:v>
                </c:pt>
                <c:pt idx="833">
                  <c:v>-0.28426561821781682</c:v>
                </c:pt>
                <c:pt idx="834">
                  <c:v>-0.28426561821781682</c:v>
                </c:pt>
                <c:pt idx="835">
                  <c:v>-0.28426561821781682</c:v>
                </c:pt>
                <c:pt idx="836">
                  <c:v>-0.28426561821781682</c:v>
                </c:pt>
                <c:pt idx="837">
                  <c:v>-0.28426561821781682</c:v>
                </c:pt>
                <c:pt idx="838">
                  <c:v>-0.28426561821781682</c:v>
                </c:pt>
                <c:pt idx="839">
                  <c:v>-0.28426561821781682</c:v>
                </c:pt>
                <c:pt idx="840">
                  <c:v>-0.28426561821781682</c:v>
                </c:pt>
                <c:pt idx="841">
                  <c:v>-0.28426561821781682</c:v>
                </c:pt>
                <c:pt idx="842">
                  <c:v>-0.28426561821781682</c:v>
                </c:pt>
                <c:pt idx="843">
                  <c:v>-0.28426561821781682</c:v>
                </c:pt>
                <c:pt idx="844">
                  <c:v>-0.28426561821781682</c:v>
                </c:pt>
                <c:pt idx="845">
                  <c:v>-0.31359560562920519</c:v>
                </c:pt>
                <c:pt idx="846">
                  <c:v>-0.31359560562920519</c:v>
                </c:pt>
                <c:pt idx="847">
                  <c:v>-0.31359560562920519</c:v>
                </c:pt>
                <c:pt idx="848">
                  <c:v>-0.31359560562920519</c:v>
                </c:pt>
                <c:pt idx="849">
                  <c:v>-0.31359560562920519</c:v>
                </c:pt>
                <c:pt idx="850">
                  <c:v>-0.31359560562920519</c:v>
                </c:pt>
                <c:pt idx="851">
                  <c:v>-0.31359560562920519</c:v>
                </c:pt>
                <c:pt idx="852">
                  <c:v>-0.31359560562920519</c:v>
                </c:pt>
                <c:pt idx="853">
                  <c:v>-0.31359560562920519</c:v>
                </c:pt>
                <c:pt idx="854">
                  <c:v>-0.31359560562920519</c:v>
                </c:pt>
                <c:pt idx="855">
                  <c:v>-0.31359560562920519</c:v>
                </c:pt>
                <c:pt idx="856">
                  <c:v>-0.31359560562920519</c:v>
                </c:pt>
                <c:pt idx="857">
                  <c:v>-0.31359560562920519</c:v>
                </c:pt>
                <c:pt idx="858">
                  <c:v>-0.24120241271379972</c:v>
                </c:pt>
                <c:pt idx="859">
                  <c:v>-0.24120241271379972</c:v>
                </c:pt>
                <c:pt idx="860">
                  <c:v>-0.24120241271379972</c:v>
                </c:pt>
                <c:pt idx="861">
                  <c:v>-0.24120241271379972</c:v>
                </c:pt>
                <c:pt idx="862">
                  <c:v>-0.24120241271379972</c:v>
                </c:pt>
                <c:pt idx="863">
                  <c:v>-0.24120241271379972</c:v>
                </c:pt>
                <c:pt idx="864">
                  <c:v>-0.24120241271379972</c:v>
                </c:pt>
                <c:pt idx="865">
                  <c:v>-0.24120241271379972</c:v>
                </c:pt>
                <c:pt idx="866">
                  <c:v>-0.24120241271379972</c:v>
                </c:pt>
                <c:pt idx="867">
                  <c:v>-0.24120241271379972</c:v>
                </c:pt>
                <c:pt idx="868">
                  <c:v>-0.24120241271379972</c:v>
                </c:pt>
                <c:pt idx="869">
                  <c:v>-0.24120241271379972</c:v>
                </c:pt>
                <c:pt idx="870">
                  <c:v>-0.24120241271379972</c:v>
                </c:pt>
                <c:pt idx="871">
                  <c:v>-0.13531690252741585</c:v>
                </c:pt>
                <c:pt idx="872">
                  <c:v>-0.13531690252741585</c:v>
                </c:pt>
                <c:pt idx="873">
                  <c:v>-0.13531690252741585</c:v>
                </c:pt>
                <c:pt idx="874">
                  <c:v>-0.13531690252741585</c:v>
                </c:pt>
                <c:pt idx="875">
                  <c:v>-0.13531690252741585</c:v>
                </c:pt>
                <c:pt idx="876">
                  <c:v>-0.13531690252741585</c:v>
                </c:pt>
                <c:pt idx="877">
                  <c:v>-0.13531690252741585</c:v>
                </c:pt>
                <c:pt idx="878">
                  <c:v>-0.13531690252741585</c:v>
                </c:pt>
                <c:pt idx="879">
                  <c:v>-0.13531690252741585</c:v>
                </c:pt>
                <c:pt idx="880">
                  <c:v>-0.13531690252741585</c:v>
                </c:pt>
                <c:pt idx="881">
                  <c:v>-0.13531690252741585</c:v>
                </c:pt>
                <c:pt idx="882">
                  <c:v>-0.13531690252741585</c:v>
                </c:pt>
                <c:pt idx="883">
                  <c:v>-0.13531690252741585</c:v>
                </c:pt>
                <c:pt idx="884">
                  <c:v>-3.58005173071754E-2</c:v>
                </c:pt>
                <c:pt idx="885">
                  <c:v>-3.58005173071754E-2</c:v>
                </c:pt>
                <c:pt idx="886">
                  <c:v>-3.58005173071754E-2</c:v>
                </c:pt>
                <c:pt idx="887">
                  <c:v>-3.58005173071754E-2</c:v>
                </c:pt>
                <c:pt idx="888">
                  <c:v>-3.58005173071754E-2</c:v>
                </c:pt>
                <c:pt idx="889">
                  <c:v>-3.58005173071754E-2</c:v>
                </c:pt>
                <c:pt idx="890">
                  <c:v>-3.58005173071754E-2</c:v>
                </c:pt>
                <c:pt idx="891">
                  <c:v>-3.58005173071754E-2</c:v>
                </c:pt>
                <c:pt idx="892">
                  <c:v>-3.58005173071754E-2</c:v>
                </c:pt>
                <c:pt idx="893">
                  <c:v>-3.58005173071754E-2</c:v>
                </c:pt>
                <c:pt idx="894">
                  <c:v>-3.58005173071754E-2</c:v>
                </c:pt>
                <c:pt idx="895">
                  <c:v>-0.25949679598000897</c:v>
                </c:pt>
                <c:pt idx="896">
                  <c:v>-0.25949679598000897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40-437F-8ABB-065F732A0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245136"/>
        <c:axId val="1174258032"/>
      </c:scatterChart>
      <c:valAx>
        <c:axId val="503105792"/>
        <c:scaling>
          <c:orientation val="minMax"/>
          <c:max val="44250"/>
          <c:min val="37500"/>
        </c:scaling>
        <c:delete val="0"/>
        <c:axPos val="b"/>
        <c:numFmt formatCode="d/mm/yyyy;@" sourceLinked="1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15776"/>
        <c:crosses val="autoZero"/>
        <c:crossBetween val="midCat"/>
        <c:majorUnit val="500"/>
      </c:valAx>
      <c:valAx>
        <c:axId val="503115776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05792"/>
        <c:crosses val="autoZero"/>
        <c:crossBetween val="midCat"/>
      </c:valAx>
      <c:valAx>
        <c:axId val="1174258032"/>
        <c:scaling>
          <c:orientation val="maxMin"/>
          <c:max val="0.70000000000000007"/>
          <c:min val="-0.70000000000000007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es-CO"/>
          </a:p>
        </c:txPr>
        <c:crossAx val="1174245136"/>
        <c:crosses val="max"/>
        <c:crossBetween val="midCat"/>
        <c:majorUnit val="0.2"/>
      </c:valAx>
      <c:valAx>
        <c:axId val="1174245136"/>
        <c:scaling>
          <c:orientation val="minMax"/>
        </c:scaling>
        <c:delete val="1"/>
        <c:axPos val="t"/>
        <c:numFmt formatCode="d/mm/yyyy;@" sourceLinked="1"/>
        <c:majorTickMark val="out"/>
        <c:minorTickMark val="none"/>
        <c:tickLblPos val="nextTo"/>
        <c:crossAx val="1174258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 sz="1800" b="1" i="0" baseline="0">
                <a:effectLst/>
              </a:rPr>
              <a:t>Probabilidad de default 5Y vs Z-score Cond Financieras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14809548056896624"/>
          <c:y val="2.304223339218524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46122261101219"/>
          <c:y val="0.10427338582677165"/>
          <c:w val="0.83072764378327513"/>
          <c:h val="0.57203671901769981"/>
        </c:manualLayout>
      </c:layout>
      <c:scatterChart>
        <c:scatterStyle val="smoothMarker"/>
        <c:varyColors val="0"/>
        <c:ser>
          <c:idx val="0"/>
          <c:order val="0"/>
          <c:tx>
            <c:v>Prob Default</c:v>
          </c:tx>
          <c:spPr>
            <a:ln w="44450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HISTORIA!$A$2:$A$897</c:f>
              <c:numCache>
                <c:formatCode>d/mm/yyyy;@</c:formatCode>
                <c:ptCount val="896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</c:numCache>
            </c:numRef>
          </c:xVal>
          <c:yVal>
            <c:numRef>
              <c:f>HISTORIA!$K$2:$K$897</c:f>
              <c:numCache>
                <c:formatCode>General</c:formatCode>
                <c:ptCount val="896"/>
                <c:pt idx="0">
                  <c:v>0.41740822649320153</c:v>
                </c:pt>
                <c:pt idx="1">
                  <c:v>0.42256938435952018</c:v>
                </c:pt>
                <c:pt idx="2">
                  <c:v>0.43434483195233053</c:v>
                </c:pt>
                <c:pt idx="3">
                  <c:v>0.43703816200004497</c:v>
                </c:pt>
                <c:pt idx="4">
                  <c:v>0.42703702304716684</c:v>
                </c:pt>
                <c:pt idx="5">
                  <c:v>0.4146094809613049</c:v>
                </c:pt>
                <c:pt idx="6">
                  <c:v>0.40721083180682349</c:v>
                </c:pt>
                <c:pt idx="7">
                  <c:v>0.40591511314818307</c:v>
                </c:pt>
                <c:pt idx="8">
                  <c:v>0.40206345929878395</c:v>
                </c:pt>
                <c:pt idx="9">
                  <c:v>0.39188924169643158</c:v>
                </c:pt>
                <c:pt idx="10">
                  <c:v>0.35822139130466168</c:v>
                </c:pt>
                <c:pt idx="11">
                  <c:v>0.35613807626633653</c:v>
                </c:pt>
                <c:pt idx="12">
                  <c:v>0.34710115392050322</c:v>
                </c:pt>
                <c:pt idx="13">
                  <c:v>0.33495765848517378</c:v>
                </c:pt>
                <c:pt idx="14">
                  <c:v>0.2889733477482932</c:v>
                </c:pt>
                <c:pt idx="15">
                  <c:v>0.28290329588551411</c:v>
                </c:pt>
                <c:pt idx="16">
                  <c:v>0.31373995935755283</c:v>
                </c:pt>
                <c:pt idx="17">
                  <c:v>0.31631886136896026</c:v>
                </c:pt>
                <c:pt idx="18">
                  <c:v>0.30921424998389702</c:v>
                </c:pt>
                <c:pt idx="19">
                  <c:v>0.29623128867979431</c:v>
                </c:pt>
                <c:pt idx="20">
                  <c:v>0.29239085383454377</c:v>
                </c:pt>
                <c:pt idx="21">
                  <c:v>0.3033967443790454</c:v>
                </c:pt>
                <c:pt idx="22">
                  <c:v>0.29336517278412777</c:v>
                </c:pt>
                <c:pt idx="23">
                  <c:v>0.29581464518870026</c:v>
                </c:pt>
                <c:pt idx="24">
                  <c:v>0.29676981932655677</c:v>
                </c:pt>
                <c:pt idx="25">
                  <c:v>0.29196824950520239</c:v>
                </c:pt>
                <c:pt idx="26">
                  <c:v>0.2838288158647454</c:v>
                </c:pt>
                <c:pt idx="27">
                  <c:v>0.29998162756140279</c:v>
                </c:pt>
                <c:pt idx="28">
                  <c:v>0.31230719252264139</c:v>
                </c:pt>
                <c:pt idx="29">
                  <c:v>0.30227560076321303</c:v>
                </c:pt>
                <c:pt idx="30">
                  <c:v>0.26942551819257465</c:v>
                </c:pt>
                <c:pt idx="31">
                  <c:v>0.27587863174487648</c:v>
                </c:pt>
                <c:pt idx="32">
                  <c:v>0.27587863174487648</c:v>
                </c:pt>
                <c:pt idx="33">
                  <c:v>0.27732253894269365</c:v>
                </c:pt>
                <c:pt idx="34">
                  <c:v>0.27579557551053568</c:v>
                </c:pt>
                <c:pt idx="35">
                  <c:v>0.28383595227259983</c:v>
                </c:pt>
                <c:pt idx="36">
                  <c:v>0.29627051961562356</c:v>
                </c:pt>
                <c:pt idx="37">
                  <c:v>0.26771637033684925</c:v>
                </c:pt>
                <c:pt idx="38">
                  <c:v>0.25371685415866785</c:v>
                </c:pt>
                <c:pt idx="39">
                  <c:v>0.26773683126656378</c:v>
                </c:pt>
                <c:pt idx="40">
                  <c:v>0.27871735900780759</c:v>
                </c:pt>
                <c:pt idx="41">
                  <c:v>0.27752245384801777</c:v>
                </c:pt>
                <c:pt idx="42">
                  <c:v>0.28103269776371353</c:v>
                </c:pt>
                <c:pt idx="43">
                  <c:v>0.27865662372086542</c:v>
                </c:pt>
                <c:pt idx="44">
                  <c:v>0.27722034795531136</c:v>
                </c:pt>
                <c:pt idx="45">
                  <c:v>0.26435817202701017</c:v>
                </c:pt>
                <c:pt idx="46">
                  <c:v>0.25862172909995318</c:v>
                </c:pt>
                <c:pt idx="47">
                  <c:v>0.26362016212522099</c:v>
                </c:pt>
                <c:pt idx="48">
                  <c:v>0.26136332069563528</c:v>
                </c:pt>
                <c:pt idx="49">
                  <c:v>0.26136332069563528</c:v>
                </c:pt>
                <c:pt idx="50">
                  <c:v>0.20049127880090645</c:v>
                </c:pt>
                <c:pt idx="51">
                  <c:v>0.21992967310785672</c:v>
                </c:pt>
                <c:pt idx="52">
                  <c:v>0.2292765416126471</c:v>
                </c:pt>
                <c:pt idx="53">
                  <c:v>0.26331786250032252</c:v>
                </c:pt>
                <c:pt idx="54">
                  <c:v>0.29049542615947554</c:v>
                </c:pt>
                <c:pt idx="55">
                  <c:v>0.29192350942625511</c:v>
                </c:pt>
                <c:pt idx="56">
                  <c:v>0.29436359774751764</c:v>
                </c:pt>
                <c:pt idx="57">
                  <c:v>0.27742166959083236</c:v>
                </c:pt>
                <c:pt idx="58">
                  <c:v>0.26085928767904099</c:v>
                </c:pt>
                <c:pt idx="59">
                  <c:v>0.25862172946952589</c:v>
                </c:pt>
                <c:pt idx="60">
                  <c:v>0.24589439385017253</c:v>
                </c:pt>
                <c:pt idx="61">
                  <c:v>0.23878795142495002</c:v>
                </c:pt>
                <c:pt idx="62">
                  <c:v>0.2182016567301811</c:v>
                </c:pt>
                <c:pt idx="63">
                  <c:v>0.2182016567301811</c:v>
                </c:pt>
                <c:pt idx="64">
                  <c:v>0.24397675746324343</c:v>
                </c:pt>
                <c:pt idx="65">
                  <c:v>0.25508930245744632</c:v>
                </c:pt>
                <c:pt idx="66">
                  <c:v>0.28393138373606364</c:v>
                </c:pt>
                <c:pt idx="67">
                  <c:v>0.3379306907111953</c:v>
                </c:pt>
                <c:pt idx="68">
                  <c:v>0.32878858134397726</c:v>
                </c:pt>
                <c:pt idx="69">
                  <c:v>0.33370794531309089</c:v>
                </c:pt>
                <c:pt idx="70">
                  <c:v>0.31260092253359628</c:v>
                </c:pt>
                <c:pt idx="71">
                  <c:v>0.29853151953376211</c:v>
                </c:pt>
                <c:pt idx="72">
                  <c:v>0.29106636216390569</c:v>
                </c:pt>
                <c:pt idx="73">
                  <c:v>0.28483728847709266</c:v>
                </c:pt>
                <c:pt idx="74">
                  <c:v>0.28243571653218991</c:v>
                </c:pt>
                <c:pt idx="75">
                  <c:v>0.27944887032449406</c:v>
                </c:pt>
                <c:pt idx="76">
                  <c:v>0.27491608795721467</c:v>
                </c:pt>
                <c:pt idx="77">
                  <c:v>0.2688332953937852</c:v>
                </c:pt>
                <c:pt idx="78">
                  <c:v>0.27282024596849885</c:v>
                </c:pt>
                <c:pt idx="79">
                  <c:v>0.2694133156141918</c:v>
                </c:pt>
                <c:pt idx="80">
                  <c:v>0.26571867901374657</c:v>
                </c:pt>
                <c:pt idx="81">
                  <c:v>0.26506200188855522</c:v>
                </c:pt>
                <c:pt idx="82">
                  <c:v>0.25799411641095593</c:v>
                </c:pt>
                <c:pt idx="83">
                  <c:v>0.25216549709988156</c:v>
                </c:pt>
                <c:pt idx="84">
                  <c:v>0.23861374612975961</c:v>
                </c:pt>
                <c:pt idx="85">
                  <c:v>0.22672986438742504</c:v>
                </c:pt>
                <c:pt idx="86">
                  <c:v>0.23709939738707886</c:v>
                </c:pt>
                <c:pt idx="87">
                  <c:v>0.24298163835000564</c:v>
                </c:pt>
                <c:pt idx="88">
                  <c:v>0.23489461340619444</c:v>
                </c:pt>
                <c:pt idx="89">
                  <c:v>0.21452413669338144</c:v>
                </c:pt>
                <c:pt idx="90">
                  <c:v>0.24214358494353794</c:v>
                </c:pt>
                <c:pt idx="91">
                  <c:v>0.23468044913468356</c:v>
                </c:pt>
                <c:pt idx="92">
                  <c:v>0.23343027652299331</c:v>
                </c:pt>
                <c:pt idx="93">
                  <c:v>0.22016173979495013</c:v>
                </c:pt>
                <c:pt idx="94">
                  <c:v>0.23245787086704872</c:v>
                </c:pt>
                <c:pt idx="95">
                  <c:v>0.20373467482131724</c:v>
                </c:pt>
                <c:pt idx="96">
                  <c:v>0.2140717956438678</c:v>
                </c:pt>
                <c:pt idx="97">
                  <c:v>0.21596273833025503</c:v>
                </c:pt>
                <c:pt idx="98">
                  <c:v>0.19575197827293378</c:v>
                </c:pt>
                <c:pt idx="99">
                  <c:v>0.21046326706958796</c:v>
                </c:pt>
                <c:pt idx="100">
                  <c:v>0.2179983145275336</c:v>
                </c:pt>
                <c:pt idx="101">
                  <c:v>0.20727127753725283</c:v>
                </c:pt>
                <c:pt idx="102">
                  <c:v>0.19193591742117777</c:v>
                </c:pt>
                <c:pt idx="103">
                  <c:v>0.19727314516582117</c:v>
                </c:pt>
                <c:pt idx="104">
                  <c:v>0.20893321196227121</c:v>
                </c:pt>
                <c:pt idx="105">
                  <c:v>0.20329514385853709</c:v>
                </c:pt>
                <c:pt idx="106">
                  <c:v>0.19855887951748774</c:v>
                </c:pt>
                <c:pt idx="107">
                  <c:v>0.19273456172617209</c:v>
                </c:pt>
                <c:pt idx="108">
                  <c:v>0.18523766749680226</c:v>
                </c:pt>
                <c:pt idx="109">
                  <c:v>0.18993946220919145</c:v>
                </c:pt>
                <c:pt idx="110">
                  <c:v>0.18619860238152364</c:v>
                </c:pt>
                <c:pt idx="111">
                  <c:v>0.19210033466381493</c:v>
                </c:pt>
                <c:pt idx="112">
                  <c:v>0.21816856699454235</c:v>
                </c:pt>
                <c:pt idx="113">
                  <c:v>0.25970647689567172</c:v>
                </c:pt>
                <c:pt idx="114">
                  <c:v>0.243828425216571</c:v>
                </c:pt>
                <c:pt idx="115">
                  <c:v>0.23761181404078702</c:v>
                </c:pt>
                <c:pt idx="116">
                  <c:v>0.25177431494416813</c:v>
                </c:pt>
                <c:pt idx="117">
                  <c:v>0.237367921027687</c:v>
                </c:pt>
                <c:pt idx="118">
                  <c:v>0.23943170066101882</c:v>
                </c:pt>
                <c:pt idx="119">
                  <c:v>0.21889213101813398</c:v>
                </c:pt>
                <c:pt idx="120">
                  <c:v>0.21696008083783747</c:v>
                </c:pt>
                <c:pt idx="121">
                  <c:v>0.21696008083783747</c:v>
                </c:pt>
                <c:pt idx="122">
                  <c:v>0.19895001154165615</c:v>
                </c:pt>
                <c:pt idx="123">
                  <c:v>0.18949101030437299</c:v>
                </c:pt>
                <c:pt idx="124">
                  <c:v>0.18657985149135481</c:v>
                </c:pt>
                <c:pt idx="125">
                  <c:v>0.18489834213140466</c:v>
                </c:pt>
                <c:pt idx="126">
                  <c:v>0.18323022382420817</c:v>
                </c:pt>
                <c:pt idx="127">
                  <c:v>0.18056364264908142</c:v>
                </c:pt>
                <c:pt idx="128">
                  <c:v>0.18436463032301831</c:v>
                </c:pt>
                <c:pt idx="129">
                  <c:v>0.17579751545940248</c:v>
                </c:pt>
                <c:pt idx="130">
                  <c:v>0.17997499387209637</c:v>
                </c:pt>
                <c:pt idx="131">
                  <c:v>0.16891508402654642</c:v>
                </c:pt>
                <c:pt idx="132">
                  <c:v>0.16166228815264916</c:v>
                </c:pt>
                <c:pt idx="133">
                  <c:v>0.16688885846601365</c:v>
                </c:pt>
                <c:pt idx="134">
                  <c:v>0.16154938510905092</c:v>
                </c:pt>
                <c:pt idx="135">
                  <c:v>0.16154938510905092</c:v>
                </c:pt>
                <c:pt idx="136">
                  <c:v>0.1582988940635025</c:v>
                </c:pt>
                <c:pt idx="137">
                  <c:v>0.14816455472812329</c:v>
                </c:pt>
                <c:pt idx="138">
                  <c:v>0.1417524896647302</c:v>
                </c:pt>
                <c:pt idx="139">
                  <c:v>0.13064495280888522</c:v>
                </c:pt>
                <c:pt idx="140">
                  <c:v>0.12024039582418278</c:v>
                </c:pt>
                <c:pt idx="141">
                  <c:v>0.14718847856298034</c:v>
                </c:pt>
                <c:pt idx="142">
                  <c:v>0.17446853527900164</c:v>
                </c:pt>
                <c:pt idx="143">
                  <c:v>0.16041454904072439</c:v>
                </c:pt>
                <c:pt idx="144">
                  <c:v>0.14635857100036975</c:v>
                </c:pt>
                <c:pt idx="145">
                  <c:v>0.13603827996617068</c:v>
                </c:pt>
                <c:pt idx="146">
                  <c:v>0.12758202726095602</c:v>
                </c:pt>
                <c:pt idx="147">
                  <c:v>0.11833405615554848</c:v>
                </c:pt>
                <c:pt idx="148">
                  <c:v>0.11342388716359797</c:v>
                </c:pt>
                <c:pt idx="149">
                  <c:v>0.10884441344316431</c:v>
                </c:pt>
                <c:pt idx="150">
                  <c:v>0.11050432496070095</c:v>
                </c:pt>
                <c:pt idx="151">
                  <c:v>0.10946210978351056</c:v>
                </c:pt>
                <c:pt idx="152">
                  <c:v>0.10713222511172316</c:v>
                </c:pt>
                <c:pt idx="153">
                  <c:v>0.10713222511172316</c:v>
                </c:pt>
                <c:pt idx="154">
                  <c:v>0.10448618012882716</c:v>
                </c:pt>
                <c:pt idx="155">
                  <c:v>0.1004190632433809</c:v>
                </c:pt>
                <c:pt idx="156">
                  <c:v>9.754343740236493E-2</c:v>
                </c:pt>
                <c:pt idx="157">
                  <c:v>9.1396577025743997E-2</c:v>
                </c:pt>
                <c:pt idx="158">
                  <c:v>8.5307917036662184E-2</c:v>
                </c:pt>
                <c:pt idx="159">
                  <c:v>7.3710352615775965E-2</c:v>
                </c:pt>
                <c:pt idx="160">
                  <c:v>7.2350709935919078E-2</c:v>
                </c:pt>
                <c:pt idx="161">
                  <c:v>6.6654900008257134E-2</c:v>
                </c:pt>
                <c:pt idx="162">
                  <c:v>6.729850192162723E-2</c:v>
                </c:pt>
                <c:pt idx="163">
                  <c:v>8.2972799706807265E-2</c:v>
                </c:pt>
                <c:pt idx="164">
                  <c:v>7.7781052212061996E-2</c:v>
                </c:pt>
                <c:pt idx="165">
                  <c:v>8.7097606211065659E-2</c:v>
                </c:pt>
                <c:pt idx="166">
                  <c:v>8.7929121565513357E-2</c:v>
                </c:pt>
                <c:pt idx="167">
                  <c:v>9.2934298619482214E-2</c:v>
                </c:pt>
                <c:pt idx="168">
                  <c:v>9.4992091930067857E-2</c:v>
                </c:pt>
                <c:pt idx="169">
                  <c:v>8.0551695114641664E-2</c:v>
                </c:pt>
                <c:pt idx="170">
                  <c:v>8.132353705384332E-2</c:v>
                </c:pt>
                <c:pt idx="171">
                  <c:v>8.132353705384332E-2</c:v>
                </c:pt>
                <c:pt idx="172">
                  <c:v>9.0943575212558248E-2</c:v>
                </c:pt>
                <c:pt idx="173">
                  <c:v>0.10991674845293165</c:v>
                </c:pt>
                <c:pt idx="174">
                  <c:v>0.10483736297246027</c:v>
                </c:pt>
                <c:pt idx="175">
                  <c:v>0.11100049022422009</c:v>
                </c:pt>
                <c:pt idx="176">
                  <c:v>0.11100049022422009</c:v>
                </c:pt>
                <c:pt idx="177">
                  <c:v>0.11519127663458983</c:v>
                </c:pt>
                <c:pt idx="178">
                  <c:v>0.1269465246754391</c:v>
                </c:pt>
                <c:pt idx="179">
                  <c:v>0.11210108351288062</c:v>
                </c:pt>
                <c:pt idx="180">
                  <c:v>0.1099976604392866</c:v>
                </c:pt>
                <c:pt idx="181">
                  <c:v>0.11769566099047213</c:v>
                </c:pt>
                <c:pt idx="182">
                  <c:v>0.10545871423310527</c:v>
                </c:pt>
                <c:pt idx="183">
                  <c:v>9.0955552408760965E-2</c:v>
                </c:pt>
                <c:pt idx="184">
                  <c:v>8.7003139495359649E-2</c:v>
                </c:pt>
                <c:pt idx="185">
                  <c:v>8.4032505689917159E-2</c:v>
                </c:pt>
                <c:pt idx="186">
                  <c:v>8.0640762402622079E-2</c:v>
                </c:pt>
                <c:pt idx="187">
                  <c:v>9.0973485499579843E-2</c:v>
                </c:pt>
                <c:pt idx="188">
                  <c:v>8.3728248190292121E-2</c:v>
                </c:pt>
                <c:pt idx="189">
                  <c:v>8.5395491615493868E-2</c:v>
                </c:pt>
                <c:pt idx="190">
                  <c:v>8.7016483349632745E-2</c:v>
                </c:pt>
                <c:pt idx="191">
                  <c:v>0.10385071745457264</c:v>
                </c:pt>
                <c:pt idx="192">
                  <c:v>9.3260992058747827E-2</c:v>
                </c:pt>
                <c:pt idx="193">
                  <c:v>8.732216210577548E-2</c:v>
                </c:pt>
                <c:pt idx="194">
                  <c:v>7.8321173588246418E-2</c:v>
                </c:pt>
                <c:pt idx="195">
                  <c:v>7.9072574193408851E-2</c:v>
                </c:pt>
                <c:pt idx="196">
                  <c:v>7.9072574193408851E-2</c:v>
                </c:pt>
                <c:pt idx="197">
                  <c:v>7.8313656486970307E-2</c:v>
                </c:pt>
                <c:pt idx="198">
                  <c:v>7.7561711900383079E-2</c:v>
                </c:pt>
                <c:pt idx="199">
                  <c:v>7.5831000710022689E-2</c:v>
                </c:pt>
                <c:pt idx="200">
                  <c:v>7.5831000710022689E-2</c:v>
                </c:pt>
                <c:pt idx="201">
                  <c:v>8.2887892805258101E-2</c:v>
                </c:pt>
                <c:pt idx="202">
                  <c:v>7.8767741639672817E-2</c:v>
                </c:pt>
                <c:pt idx="203">
                  <c:v>7.5571129819945293E-2</c:v>
                </c:pt>
                <c:pt idx="204">
                  <c:v>7.4844435810643484E-2</c:v>
                </c:pt>
                <c:pt idx="205">
                  <c:v>7.4124446028630442E-2</c:v>
                </c:pt>
                <c:pt idx="206">
                  <c:v>7.4124446028630442E-2</c:v>
                </c:pt>
                <c:pt idx="207">
                  <c:v>7.3411104200395316E-2</c:v>
                </c:pt>
                <c:pt idx="208">
                  <c:v>6.9477337559872177E-2</c:v>
                </c:pt>
                <c:pt idx="209">
                  <c:v>7.3329017328614965E-2</c:v>
                </c:pt>
                <c:pt idx="210">
                  <c:v>6.9791175265965233E-2</c:v>
                </c:pt>
                <c:pt idx="211">
                  <c:v>6.9791175265965233E-2</c:v>
                </c:pt>
                <c:pt idx="212">
                  <c:v>6.4983212288943326E-2</c:v>
                </c:pt>
                <c:pt idx="213">
                  <c:v>6.5611246488556429E-2</c:v>
                </c:pt>
                <c:pt idx="214">
                  <c:v>7.7464163628888305E-2</c:v>
                </c:pt>
                <c:pt idx="215">
                  <c:v>6.9245620186523249E-2</c:v>
                </c:pt>
                <c:pt idx="216">
                  <c:v>7.1730827728807345E-2</c:v>
                </c:pt>
                <c:pt idx="217">
                  <c:v>6.4099249030245331E-2</c:v>
                </c:pt>
                <c:pt idx="218">
                  <c:v>6.2283075589143477E-2</c:v>
                </c:pt>
                <c:pt idx="219">
                  <c:v>6.0664184863367887E-2</c:v>
                </c:pt>
                <c:pt idx="220">
                  <c:v>5.8932607441625873E-2</c:v>
                </c:pt>
                <c:pt idx="221">
                  <c:v>5.0687139886131605E-2</c:v>
                </c:pt>
                <c:pt idx="222">
                  <c:v>5.5429958278904179E-2</c:v>
                </c:pt>
                <c:pt idx="223">
                  <c:v>5.6795320845725139E-2</c:v>
                </c:pt>
                <c:pt idx="224">
                  <c:v>5.7346669983721954E-2</c:v>
                </c:pt>
                <c:pt idx="225">
                  <c:v>5.1203038098176168E-2</c:v>
                </c:pt>
                <c:pt idx="226">
                  <c:v>5.1701599042954238E-2</c:v>
                </c:pt>
                <c:pt idx="227">
                  <c:v>4.7965109123464522E-2</c:v>
                </c:pt>
                <c:pt idx="228">
                  <c:v>5.384274391635735E-2</c:v>
                </c:pt>
                <c:pt idx="229">
                  <c:v>4.4445765283257388E-2</c:v>
                </c:pt>
                <c:pt idx="230">
                  <c:v>4.7482306504593175E-2</c:v>
                </c:pt>
                <c:pt idx="231">
                  <c:v>5.4611152150920939E-2</c:v>
                </c:pt>
                <c:pt idx="232">
                  <c:v>5.1329248052841336E-2</c:v>
                </c:pt>
                <c:pt idx="233">
                  <c:v>5.364318627131992E-2</c:v>
                </c:pt>
                <c:pt idx="234">
                  <c:v>6.104721249462175E-2</c:v>
                </c:pt>
                <c:pt idx="235">
                  <c:v>0.110543718170524</c:v>
                </c:pt>
                <c:pt idx="236">
                  <c:v>8.8107734523789394E-2</c:v>
                </c:pt>
                <c:pt idx="237">
                  <c:v>8.7266277054442898E-2</c:v>
                </c:pt>
                <c:pt idx="238">
                  <c:v>0.10497144107110612</c:v>
                </c:pt>
                <c:pt idx="239">
                  <c:v>8.7831653003317967E-2</c:v>
                </c:pt>
                <c:pt idx="240">
                  <c:v>9.1428012307608664E-2</c:v>
                </c:pt>
                <c:pt idx="241">
                  <c:v>9.9658573943354423E-2</c:v>
                </c:pt>
                <c:pt idx="242">
                  <c:v>8.738984780632153E-2</c:v>
                </c:pt>
                <c:pt idx="243">
                  <c:v>6.9579999852380947E-2</c:v>
                </c:pt>
                <c:pt idx="244">
                  <c:v>7.5571839418682396E-2</c:v>
                </c:pt>
                <c:pt idx="245">
                  <c:v>7.0613167150119782E-2</c:v>
                </c:pt>
                <c:pt idx="246">
                  <c:v>6.668594043920073E-2</c:v>
                </c:pt>
                <c:pt idx="247">
                  <c:v>8.1274612695573789E-2</c:v>
                </c:pt>
                <c:pt idx="248">
                  <c:v>7.7834579932601677E-2</c:v>
                </c:pt>
                <c:pt idx="249">
                  <c:v>8.3859459902913325E-2</c:v>
                </c:pt>
                <c:pt idx="250">
                  <c:v>9.2643546037107338E-2</c:v>
                </c:pt>
                <c:pt idx="251">
                  <c:v>9.7338403056230094E-2</c:v>
                </c:pt>
                <c:pt idx="252">
                  <c:v>0.10941236456501124</c:v>
                </c:pt>
                <c:pt idx="253">
                  <c:v>8.6786429731090187E-2</c:v>
                </c:pt>
                <c:pt idx="254">
                  <c:v>7.8571238554968836E-2</c:v>
                </c:pt>
                <c:pt idx="255">
                  <c:v>8.0296223800009447E-2</c:v>
                </c:pt>
                <c:pt idx="256">
                  <c:v>8.2759453375263803E-2</c:v>
                </c:pt>
                <c:pt idx="257">
                  <c:v>8.2759453375263803E-2</c:v>
                </c:pt>
                <c:pt idx="258">
                  <c:v>9.6794706953427845E-2</c:v>
                </c:pt>
                <c:pt idx="259">
                  <c:v>0.10530667560965379</c:v>
                </c:pt>
                <c:pt idx="260">
                  <c:v>0.12207181954280066</c:v>
                </c:pt>
                <c:pt idx="261">
                  <c:v>0.11564958604611408</c:v>
                </c:pt>
                <c:pt idx="262">
                  <c:v>0.11456203441952761</c:v>
                </c:pt>
                <c:pt idx="263">
                  <c:v>0.13558589924819309</c:v>
                </c:pt>
                <c:pt idx="264">
                  <c:v>0.12620616183933842</c:v>
                </c:pt>
                <c:pt idx="265">
                  <c:v>0.1217673141471054</c:v>
                </c:pt>
                <c:pt idx="266">
                  <c:v>0.1217673141471054</c:v>
                </c:pt>
                <c:pt idx="267">
                  <c:v>0.13952040114088737</c:v>
                </c:pt>
                <c:pt idx="268">
                  <c:v>0.1476567418523167</c:v>
                </c:pt>
                <c:pt idx="269">
                  <c:v>0.13539693178631196</c:v>
                </c:pt>
                <c:pt idx="270">
                  <c:v>0.1302372795576483</c:v>
                </c:pt>
                <c:pt idx="271">
                  <c:v>0.11786755343938848</c:v>
                </c:pt>
                <c:pt idx="272">
                  <c:v>0.11786755343938848</c:v>
                </c:pt>
                <c:pt idx="273">
                  <c:v>9.6192858301035411E-2</c:v>
                </c:pt>
                <c:pt idx="274">
                  <c:v>9.7106500235032422E-2</c:v>
                </c:pt>
                <c:pt idx="275">
                  <c:v>8.9672078944129319E-2</c:v>
                </c:pt>
                <c:pt idx="276">
                  <c:v>9.3506106619011042E-2</c:v>
                </c:pt>
                <c:pt idx="277">
                  <c:v>8.3664006934677682E-2</c:v>
                </c:pt>
                <c:pt idx="278">
                  <c:v>8.3664006934677682E-2</c:v>
                </c:pt>
                <c:pt idx="279">
                  <c:v>7.4814700222438524E-2</c:v>
                </c:pt>
                <c:pt idx="280">
                  <c:v>7.5533856111735354E-2</c:v>
                </c:pt>
                <c:pt idx="281">
                  <c:v>8.3482932187826653E-2</c:v>
                </c:pt>
                <c:pt idx="282">
                  <c:v>8.7960980862517579E-2</c:v>
                </c:pt>
                <c:pt idx="283">
                  <c:v>0.10224278407501375</c:v>
                </c:pt>
                <c:pt idx="284">
                  <c:v>0.10751235494951572</c:v>
                </c:pt>
                <c:pt idx="285">
                  <c:v>0.10852691657377</c:v>
                </c:pt>
                <c:pt idx="286">
                  <c:v>9.6384291281757406E-2</c:v>
                </c:pt>
                <c:pt idx="287">
                  <c:v>9.233915791973335E-2</c:v>
                </c:pt>
                <c:pt idx="288">
                  <c:v>9.4719928359986105E-2</c:v>
                </c:pt>
                <c:pt idx="289">
                  <c:v>0.10193692687709177</c:v>
                </c:pt>
                <c:pt idx="290">
                  <c:v>0.10193692687709177</c:v>
                </c:pt>
                <c:pt idx="291">
                  <c:v>0.10290196030228327</c:v>
                </c:pt>
                <c:pt idx="292">
                  <c:v>0.10192727130222712</c:v>
                </c:pt>
                <c:pt idx="293">
                  <c:v>0.11649952748637415</c:v>
                </c:pt>
                <c:pt idx="294">
                  <c:v>0.12025826197128053</c:v>
                </c:pt>
                <c:pt idx="295">
                  <c:v>0.12240312253093177</c:v>
                </c:pt>
                <c:pt idx="296">
                  <c:v>0.1212565140827333</c:v>
                </c:pt>
                <c:pt idx="297">
                  <c:v>0.13272997868741632</c:v>
                </c:pt>
                <c:pt idx="298">
                  <c:v>0.23859044718960642</c:v>
                </c:pt>
                <c:pt idx="299">
                  <c:v>0.19712880227823071</c:v>
                </c:pt>
                <c:pt idx="300">
                  <c:v>0.32584609327098235</c:v>
                </c:pt>
                <c:pt idx="301">
                  <c:v>0.19201536802210684</c:v>
                </c:pt>
                <c:pt idx="302">
                  <c:v>0.190906336946983</c:v>
                </c:pt>
                <c:pt idx="303">
                  <c:v>0.21410684114490208</c:v>
                </c:pt>
                <c:pt idx="304">
                  <c:v>0.25313936589935837</c:v>
                </c:pt>
                <c:pt idx="305">
                  <c:v>0.19717171681283963</c:v>
                </c:pt>
                <c:pt idx="306">
                  <c:v>0.24268841760066506</c:v>
                </c:pt>
                <c:pt idx="307">
                  <c:v>0.23036183115789111</c:v>
                </c:pt>
                <c:pt idx="308">
                  <c:v>0.18828798852936579</c:v>
                </c:pt>
                <c:pt idx="309">
                  <c:v>0.18997953328040906</c:v>
                </c:pt>
                <c:pt idx="310">
                  <c:v>0.18640826140455458</c:v>
                </c:pt>
                <c:pt idx="311">
                  <c:v>0.19108530677499724</c:v>
                </c:pt>
                <c:pt idx="312">
                  <c:v>0.20140951870222334</c:v>
                </c:pt>
                <c:pt idx="313">
                  <c:v>0.21335630676012896</c:v>
                </c:pt>
                <c:pt idx="314">
                  <c:v>0.2189505778178864</c:v>
                </c:pt>
                <c:pt idx="315">
                  <c:v>0.22585789674676071</c:v>
                </c:pt>
                <c:pt idx="316">
                  <c:v>0.25131262776565144</c:v>
                </c:pt>
                <c:pt idx="317">
                  <c:v>0.2701883174545171</c:v>
                </c:pt>
                <c:pt idx="318">
                  <c:v>0.27115770847499887</c:v>
                </c:pt>
                <c:pt idx="319">
                  <c:v>0.27996353920772987</c:v>
                </c:pt>
                <c:pt idx="320">
                  <c:v>0.2534730427659172</c:v>
                </c:pt>
                <c:pt idx="321">
                  <c:v>0.24612511325279296</c:v>
                </c:pt>
                <c:pt idx="322">
                  <c:v>0.22873010605187172</c:v>
                </c:pt>
                <c:pt idx="323">
                  <c:v>0.20670538024086715</c:v>
                </c:pt>
                <c:pt idx="324">
                  <c:v>0.1956713829013661</c:v>
                </c:pt>
                <c:pt idx="325">
                  <c:v>0.18914357333430309</c:v>
                </c:pt>
                <c:pt idx="326">
                  <c:v>0.18831208343978212</c:v>
                </c:pt>
                <c:pt idx="327">
                  <c:v>0.18378820452968081</c:v>
                </c:pt>
                <c:pt idx="328">
                  <c:v>0.14896583672284536</c:v>
                </c:pt>
                <c:pt idx="329">
                  <c:v>0.15746530542931814</c:v>
                </c:pt>
                <c:pt idx="330">
                  <c:v>0.14715853035127047</c:v>
                </c:pt>
                <c:pt idx="331">
                  <c:v>0.13771520412607541</c:v>
                </c:pt>
                <c:pt idx="332">
                  <c:v>0.12789808723565166</c:v>
                </c:pt>
                <c:pt idx="333">
                  <c:v>0.13011546419097597</c:v>
                </c:pt>
                <c:pt idx="334">
                  <c:v>0.14022617667494452</c:v>
                </c:pt>
                <c:pt idx="335">
                  <c:v>0.13350690500048623</c:v>
                </c:pt>
                <c:pt idx="336">
                  <c:v>0.12896978798700243</c:v>
                </c:pt>
                <c:pt idx="337">
                  <c:v>0.14063992236800771</c:v>
                </c:pt>
                <c:pt idx="338">
                  <c:v>0.12980367241860569</c:v>
                </c:pt>
                <c:pt idx="339">
                  <c:v>0.11389428564345727</c:v>
                </c:pt>
                <c:pt idx="340">
                  <c:v>0.10869662041521233</c:v>
                </c:pt>
                <c:pt idx="341">
                  <c:v>9.2511962850245211E-2</c:v>
                </c:pt>
                <c:pt idx="342">
                  <c:v>0.10376398024580624</c:v>
                </c:pt>
                <c:pt idx="343">
                  <c:v>0.10031275763004577</c:v>
                </c:pt>
                <c:pt idx="344">
                  <c:v>0.10405658168204335</c:v>
                </c:pt>
                <c:pt idx="345">
                  <c:v>0.10307159577637026</c:v>
                </c:pt>
                <c:pt idx="346">
                  <c:v>9.8266660810899964E-2</c:v>
                </c:pt>
                <c:pt idx="347">
                  <c:v>9.2147153369562695E-2</c:v>
                </c:pt>
                <c:pt idx="348">
                  <c:v>0.10175013576596925</c:v>
                </c:pt>
                <c:pt idx="349">
                  <c:v>0.10271350381177602</c:v>
                </c:pt>
                <c:pt idx="350">
                  <c:v>9.0471266901901548E-2</c:v>
                </c:pt>
                <c:pt idx="351">
                  <c:v>9.3716853246801568E-2</c:v>
                </c:pt>
                <c:pt idx="352">
                  <c:v>0.10149669014544294</c:v>
                </c:pt>
                <c:pt idx="353">
                  <c:v>0.10633844603850728</c:v>
                </c:pt>
                <c:pt idx="354">
                  <c:v>9.9898695244025948E-2</c:v>
                </c:pt>
                <c:pt idx="355">
                  <c:v>9.5157392710110367E-2</c:v>
                </c:pt>
                <c:pt idx="356">
                  <c:v>9.5157392710110367E-2</c:v>
                </c:pt>
                <c:pt idx="357">
                  <c:v>9.7502202846457386E-2</c:v>
                </c:pt>
                <c:pt idx="358">
                  <c:v>9.2654729001045766E-2</c:v>
                </c:pt>
                <c:pt idx="359">
                  <c:v>9.504581466800055E-2</c:v>
                </c:pt>
                <c:pt idx="360">
                  <c:v>9.4141576770590651E-2</c:v>
                </c:pt>
                <c:pt idx="361">
                  <c:v>9.0780142233192085E-2</c:v>
                </c:pt>
                <c:pt idx="362">
                  <c:v>9.164502012596798E-2</c:v>
                </c:pt>
                <c:pt idx="363">
                  <c:v>8.4588801392862067E-2</c:v>
                </c:pt>
                <c:pt idx="364">
                  <c:v>9.242776723430568E-2</c:v>
                </c:pt>
                <c:pt idx="365">
                  <c:v>0.10095462306850234</c:v>
                </c:pt>
                <c:pt idx="366">
                  <c:v>0.10658852015049658</c:v>
                </c:pt>
                <c:pt idx="367">
                  <c:v>0.1118861232038777</c:v>
                </c:pt>
                <c:pt idx="368">
                  <c:v>0.10593976710638175</c:v>
                </c:pt>
                <c:pt idx="369">
                  <c:v>0.10120477341521372</c:v>
                </c:pt>
                <c:pt idx="370">
                  <c:v>0.100245246646262</c:v>
                </c:pt>
                <c:pt idx="371">
                  <c:v>9.3257982285455454E-2</c:v>
                </c:pt>
                <c:pt idx="372">
                  <c:v>8.8261180090870806E-2</c:v>
                </c:pt>
                <c:pt idx="373">
                  <c:v>8.9103253260876758E-2</c:v>
                </c:pt>
                <c:pt idx="374">
                  <c:v>9.7065073565595572E-2</c:v>
                </c:pt>
                <c:pt idx="375">
                  <c:v>9.2841591698559989E-2</c:v>
                </c:pt>
                <c:pt idx="376">
                  <c:v>8.9743275785733156E-2</c:v>
                </c:pt>
                <c:pt idx="377">
                  <c:v>8.3724440738540906E-2</c:v>
                </c:pt>
                <c:pt idx="378">
                  <c:v>8.5422549211673471E-2</c:v>
                </c:pt>
                <c:pt idx="379">
                  <c:v>9.3254163746139707E-2</c:v>
                </c:pt>
                <c:pt idx="380">
                  <c:v>0.11496450905719169</c:v>
                </c:pt>
                <c:pt idx="381">
                  <c:v>9.9945516318683203E-2</c:v>
                </c:pt>
                <c:pt idx="382">
                  <c:v>0.11340768753511121</c:v>
                </c:pt>
                <c:pt idx="383">
                  <c:v>0.10328290318309008</c:v>
                </c:pt>
                <c:pt idx="384">
                  <c:v>0.10723022787875036</c:v>
                </c:pt>
                <c:pt idx="385">
                  <c:v>0.10347491090776506</c:v>
                </c:pt>
                <c:pt idx="386">
                  <c:v>9.3998774090644388E-2</c:v>
                </c:pt>
                <c:pt idx="387">
                  <c:v>9.4892688471857944E-2</c:v>
                </c:pt>
                <c:pt idx="388">
                  <c:v>9.7628689319718354E-2</c:v>
                </c:pt>
                <c:pt idx="389">
                  <c:v>8.9405510797404442E-2</c:v>
                </c:pt>
                <c:pt idx="390">
                  <c:v>8.7061564268183345E-2</c:v>
                </c:pt>
                <c:pt idx="391">
                  <c:v>8.1762807985593877E-2</c:v>
                </c:pt>
                <c:pt idx="392">
                  <c:v>7.9570748879429609E-2</c:v>
                </c:pt>
                <c:pt idx="393">
                  <c:v>7.7049599955288706E-2</c:v>
                </c:pt>
                <c:pt idx="394">
                  <c:v>7.8607508241099855E-2</c:v>
                </c:pt>
                <c:pt idx="395">
                  <c:v>7.8607508241099855E-2</c:v>
                </c:pt>
                <c:pt idx="396">
                  <c:v>8.4963951159131024E-2</c:v>
                </c:pt>
                <c:pt idx="397">
                  <c:v>7.9331865639267862E-2</c:v>
                </c:pt>
                <c:pt idx="398">
                  <c:v>8.3555979251817236E-2</c:v>
                </c:pt>
                <c:pt idx="399">
                  <c:v>8.1091727647362055E-2</c:v>
                </c:pt>
                <c:pt idx="400">
                  <c:v>7.9204880076213402E-2</c:v>
                </c:pt>
                <c:pt idx="401">
                  <c:v>7.3912144241736089E-2</c:v>
                </c:pt>
                <c:pt idx="402">
                  <c:v>6.5187865331880479E-2</c:v>
                </c:pt>
                <c:pt idx="403">
                  <c:v>6.4557498879433517E-2</c:v>
                </c:pt>
                <c:pt idx="404">
                  <c:v>6.5181563770518536E-2</c:v>
                </c:pt>
                <c:pt idx="405">
                  <c:v>6.5811446711117716E-2</c:v>
                </c:pt>
                <c:pt idx="406">
                  <c:v>6.1377969975003999E-2</c:v>
                </c:pt>
                <c:pt idx="407">
                  <c:v>6.7603971775319183E-2</c:v>
                </c:pt>
                <c:pt idx="408">
                  <c:v>7.0240310307234766E-2</c:v>
                </c:pt>
                <c:pt idx="409">
                  <c:v>7.4244287636655693E-2</c:v>
                </c:pt>
                <c:pt idx="410">
                  <c:v>6.8787683401842381E-2</c:v>
                </c:pt>
                <c:pt idx="411">
                  <c:v>7.263153257057664E-2</c:v>
                </c:pt>
                <c:pt idx="412">
                  <c:v>7.4348229704641944E-2</c:v>
                </c:pt>
                <c:pt idx="413">
                  <c:v>7.4348229704641944E-2</c:v>
                </c:pt>
                <c:pt idx="414">
                  <c:v>7.2657447260529806E-2</c:v>
                </c:pt>
                <c:pt idx="415">
                  <c:v>7.2657447260529806E-2</c:v>
                </c:pt>
                <c:pt idx="416">
                  <c:v>6.9678205765997814E-2</c:v>
                </c:pt>
                <c:pt idx="417">
                  <c:v>7.1199576396540731E-2</c:v>
                </c:pt>
                <c:pt idx="418">
                  <c:v>7.8715277637098402E-2</c:v>
                </c:pt>
                <c:pt idx="419">
                  <c:v>7.3912913677124492E-2</c:v>
                </c:pt>
                <c:pt idx="420">
                  <c:v>7.9864479786649567E-2</c:v>
                </c:pt>
                <c:pt idx="421">
                  <c:v>7.5576279774363875E-2</c:v>
                </c:pt>
                <c:pt idx="422">
                  <c:v>7.7155358575571209E-2</c:v>
                </c:pt>
                <c:pt idx="423">
                  <c:v>7.4515945640522108E-2</c:v>
                </c:pt>
                <c:pt idx="424">
                  <c:v>7.4515945640522108E-2</c:v>
                </c:pt>
                <c:pt idx="425">
                  <c:v>7.5232348044454889E-2</c:v>
                </c:pt>
                <c:pt idx="426">
                  <c:v>7.3468782781746955E-2</c:v>
                </c:pt>
                <c:pt idx="427">
                  <c:v>6.9725351001151625E-2</c:v>
                </c:pt>
                <c:pt idx="428">
                  <c:v>6.5988845202034629E-2</c:v>
                </c:pt>
                <c:pt idx="429">
                  <c:v>6.4639179736828312E-2</c:v>
                </c:pt>
                <c:pt idx="430">
                  <c:v>6.5264006363548344E-2</c:v>
                </c:pt>
                <c:pt idx="431">
                  <c:v>6.5264006363548344E-2</c:v>
                </c:pt>
                <c:pt idx="432">
                  <c:v>6.5264006363548344E-2</c:v>
                </c:pt>
                <c:pt idx="433">
                  <c:v>6.5264006363548344E-2</c:v>
                </c:pt>
                <c:pt idx="434">
                  <c:v>6.5264006363548344E-2</c:v>
                </c:pt>
                <c:pt idx="435">
                  <c:v>6.8014815010181806E-2</c:v>
                </c:pt>
                <c:pt idx="436">
                  <c:v>6.6410552367491493E-2</c:v>
                </c:pt>
                <c:pt idx="437">
                  <c:v>6.8860658347127623E-2</c:v>
                </c:pt>
                <c:pt idx="438">
                  <c:v>7.151688940876888E-2</c:v>
                </c:pt>
                <c:pt idx="439">
                  <c:v>7.4134735467486279E-2</c:v>
                </c:pt>
                <c:pt idx="440">
                  <c:v>6.943202767332568E-2</c:v>
                </c:pt>
                <c:pt idx="441">
                  <c:v>6.8762148511652299E-2</c:v>
                </c:pt>
                <c:pt idx="442">
                  <c:v>7.4016847169406041E-2</c:v>
                </c:pt>
                <c:pt idx="443">
                  <c:v>7.105695436397963E-2</c:v>
                </c:pt>
                <c:pt idx="444">
                  <c:v>7.1741406025118581E-2</c:v>
                </c:pt>
                <c:pt idx="445">
                  <c:v>8.2056835763590685E-2</c:v>
                </c:pt>
                <c:pt idx="446">
                  <c:v>9.8354447054248895E-2</c:v>
                </c:pt>
                <c:pt idx="447">
                  <c:v>9.1879126386023469E-2</c:v>
                </c:pt>
                <c:pt idx="448">
                  <c:v>0.10313477846389429</c:v>
                </c:pt>
                <c:pt idx="449">
                  <c:v>9.5194292742874609E-2</c:v>
                </c:pt>
                <c:pt idx="450">
                  <c:v>0.10679436030292222</c:v>
                </c:pt>
                <c:pt idx="451">
                  <c:v>0.10198515371715966</c:v>
                </c:pt>
                <c:pt idx="452">
                  <c:v>0.13287922569863408</c:v>
                </c:pt>
                <c:pt idx="453">
                  <c:v>0.12650977301344957</c:v>
                </c:pt>
                <c:pt idx="454">
                  <c:v>0.11828450974107252</c:v>
                </c:pt>
                <c:pt idx="455">
                  <c:v>9.9566273855542176E-2</c:v>
                </c:pt>
                <c:pt idx="456">
                  <c:v>0.102865010167559</c:v>
                </c:pt>
                <c:pt idx="457">
                  <c:v>8.82992037830298E-2</c:v>
                </c:pt>
                <c:pt idx="458">
                  <c:v>9.1224236943682313E-2</c:v>
                </c:pt>
                <c:pt idx="459">
                  <c:v>0.10202576837111543</c:v>
                </c:pt>
                <c:pt idx="460">
                  <c:v>0.11078334081341812</c:v>
                </c:pt>
                <c:pt idx="461">
                  <c:v>0.12182439650365973</c:v>
                </c:pt>
                <c:pt idx="462">
                  <c:v>9.8837096066206054E-2</c:v>
                </c:pt>
                <c:pt idx="463">
                  <c:v>9.3471497323277974E-2</c:v>
                </c:pt>
                <c:pt idx="464">
                  <c:v>0.10015958338466813</c:v>
                </c:pt>
                <c:pt idx="465">
                  <c:v>9.7432239184745306E-2</c:v>
                </c:pt>
                <c:pt idx="466">
                  <c:v>9.9416862152311936E-2</c:v>
                </c:pt>
                <c:pt idx="467">
                  <c:v>9.847334247488404E-2</c:v>
                </c:pt>
                <c:pt idx="468">
                  <c:v>9.847334247488404E-2</c:v>
                </c:pt>
                <c:pt idx="469">
                  <c:v>9.2592710367446318E-2</c:v>
                </c:pt>
                <c:pt idx="470">
                  <c:v>8.8509035566995187E-2</c:v>
                </c:pt>
                <c:pt idx="471">
                  <c:v>8.4150167530363196E-2</c:v>
                </c:pt>
                <c:pt idx="472">
                  <c:v>8.4150167530363196E-2</c:v>
                </c:pt>
                <c:pt idx="473">
                  <c:v>8.2528091610569954E-2</c:v>
                </c:pt>
                <c:pt idx="474">
                  <c:v>8.173750219101672E-2</c:v>
                </c:pt>
                <c:pt idx="475">
                  <c:v>7.8168375744685714E-2</c:v>
                </c:pt>
                <c:pt idx="476">
                  <c:v>7.5217176159310006E-2</c:v>
                </c:pt>
                <c:pt idx="477">
                  <c:v>6.9746854634683886E-2</c:v>
                </c:pt>
                <c:pt idx="478">
                  <c:v>7.0419170922557561E-2</c:v>
                </c:pt>
                <c:pt idx="479">
                  <c:v>7.1097717162589946E-2</c:v>
                </c:pt>
                <c:pt idx="480">
                  <c:v>7.4577104356441493E-2</c:v>
                </c:pt>
                <c:pt idx="481">
                  <c:v>7.6332648857211804E-2</c:v>
                </c:pt>
                <c:pt idx="482">
                  <c:v>7.4403454469166852E-2</c:v>
                </c:pt>
                <c:pt idx="483">
                  <c:v>7.1270203763203033E-2</c:v>
                </c:pt>
                <c:pt idx="484">
                  <c:v>7.1270203763203033E-2</c:v>
                </c:pt>
                <c:pt idx="485">
                  <c:v>7.8091455237628393E-2</c:v>
                </c:pt>
                <c:pt idx="486">
                  <c:v>9.2908708022543807E-2</c:v>
                </c:pt>
                <c:pt idx="487">
                  <c:v>9.6748941110122666E-2</c:v>
                </c:pt>
                <c:pt idx="488">
                  <c:v>0.1049838942289727</c:v>
                </c:pt>
                <c:pt idx="489">
                  <c:v>9.6267067592343492E-2</c:v>
                </c:pt>
                <c:pt idx="490">
                  <c:v>8.975984223494482E-2</c:v>
                </c:pt>
                <c:pt idx="491">
                  <c:v>9.0615491599520426E-2</c:v>
                </c:pt>
                <c:pt idx="492">
                  <c:v>9.1478881022492353E-2</c:v>
                </c:pt>
                <c:pt idx="493">
                  <c:v>8.8427128158747537E-2</c:v>
                </c:pt>
                <c:pt idx="494">
                  <c:v>8.1583915228647497E-2</c:v>
                </c:pt>
                <c:pt idx="495">
                  <c:v>8.1583915228647497E-2</c:v>
                </c:pt>
                <c:pt idx="496">
                  <c:v>7.9873813687552642E-2</c:v>
                </c:pt>
                <c:pt idx="497">
                  <c:v>7.5388906084135732E-2</c:v>
                </c:pt>
                <c:pt idx="498">
                  <c:v>7.5388906084135732E-2</c:v>
                </c:pt>
                <c:pt idx="499">
                  <c:v>7.466389267641349E-2</c:v>
                </c:pt>
                <c:pt idx="500">
                  <c:v>7.466389267641349E-2</c:v>
                </c:pt>
                <c:pt idx="501">
                  <c:v>7.466389267641349E-2</c:v>
                </c:pt>
                <c:pt idx="502">
                  <c:v>6.8147101362754703E-2</c:v>
                </c:pt>
                <c:pt idx="503">
                  <c:v>5.8333700216100071E-2</c:v>
                </c:pt>
                <c:pt idx="504">
                  <c:v>6.2510520224367094E-2</c:v>
                </c:pt>
                <c:pt idx="505">
                  <c:v>6.7503256783486232E-2</c:v>
                </c:pt>
                <c:pt idx="506">
                  <c:v>6.6851310558312282E-2</c:v>
                </c:pt>
                <c:pt idx="507">
                  <c:v>6.6851310558312282E-2</c:v>
                </c:pt>
                <c:pt idx="508">
                  <c:v>6.6851310558312282E-2</c:v>
                </c:pt>
                <c:pt idx="509">
                  <c:v>6.5285774614087799E-2</c:v>
                </c:pt>
                <c:pt idx="510">
                  <c:v>6.5285774614087799E-2</c:v>
                </c:pt>
                <c:pt idx="511">
                  <c:v>6.4654494481988678E-2</c:v>
                </c:pt>
                <c:pt idx="512">
                  <c:v>6.8215597373507575E-2</c:v>
                </c:pt>
                <c:pt idx="513">
                  <c:v>6.5082749473748591E-2</c:v>
                </c:pt>
                <c:pt idx="514">
                  <c:v>6.5082749473748591E-2</c:v>
                </c:pt>
                <c:pt idx="515">
                  <c:v>6.5082749473748591E-2</c:v>
                </c:pt>
                <c:pt idx="516">
                  <c:v>6.1907196879427584E-2</c:v>
                </c:pt>
                <c:pt idx="517">
                  <c:v>6.1907196879427584E-2</c:v>
                </c:pt>
                <c:pt idx="518">
                  <c:v>6.3183808026118782E-2</c:v>
                </c:pt>
                <c:pt idx="519">
                  <c:v>5.8872572293787395E-2</c:v>
                </c:pt>
                <c:pt idx="520">
                  <c:v>6.2658729745843633E-2</c:v>
                </c:pt>
                <c:pt idx="521">
                  <c:v>6.0459743376823138E-2</c:v>
                </c:pt>
                <c:pt idx="522">
                  <c:v>5.8721461614779535E-2</c:v>
                </c:pt>
                <c:pt idx="523">
                  <c:v>6.3128715073066499E-2</c:v>
                </c:pt>
                <c:pt idx="524">
                  <c:v>6.3128715073066499E-2</c:v>
                </c:pt>
                <c:pt idx="525">
                  <c:v>6.3128715073066499E-2</c:v>
                </c:pt>
                <c:pt idx="526">
                  <c:v>6.5004115201451884E-2</c:v>
                </c:pt>
                <c:pt idx="527">
                  <c:v>6.5004115201451884E-2</c:v>
                </c:pt>
                <c:pt idx="528">
                  <c:v>6.1272368244360109E-2</c:v>
                </c:pt>
                <c:pt idx="529">
                  <c:v>5.9016151014137375E-2</c:v>
                </c:pt>
                <c:pt idx="530">
                  <c:v>6.2158329789082867E-2</c:v>
                </c:pt>
                <c:pt idx="531">
                  <c:v>6.3885974244416111E-2</c:v>
                </c:pt>
                <c:pt idx="532">
                  <c:v>6.4503773933361597E-2</c:v>
                </c:pt>
                <c:pt idx="533">
                  <c:v>5.5570515193356429E-2</c:v>
                </c:pt>
                <c:pt idx="534">
                  <c:v>5.9966843733094022E-2</c:v>
                </c:pt>
                <c:pt idx="535">
                  <c:v>5.5996049355110267E-2</c:v>
                </c:pt>
                <c:pt idx="536">
                  <c:v>5.0977649764151423E-2</c:v>
                </c:pt>
                <c:pt idx="537">
                  <c:v>4.9668236153563416E-2</c:v>
                </c:pt>
                <c:pt idx="538">
                  <c:v>5.4978863033797953E-2</c:v>
                </c:pt>
                <c:pt idx="539">
                  <c:v>6.0838913042908671E-2</c:v>
                </c:pt>
                <c:pt idx="540">
                  <c:v>6.8966200838676106E-2</c:v>
                </c:pt>
                <c:pt idx="541">
                  <c:v>8.0319690970127589E-2</c:v>
                </c:pt>
                <c:pt idx="542">
                  <c:v>7.7681547625721104E-2</c:v>
                </c:pt>
                <c:pt idx="543">
                  <c:v>0.10738196487970986</c:v>
                </c:pt>
                <c:pt idx="544">
                  <c:v>9.018527188536507E-2</c:v>
                </c:pt>
                <c:pt idx="545">
                  <c:v>9.8835212916616566E-2</c:v>
                </c:pt>
                <c:pt idx="546">
                  <c:v>8.7083530973972034E-2</c:v>
                </c:pt>
                <c:pt idx="547">
                  <c:v>7.6863784486084663E-2</c:v>
                </c:pt>
                <c:pt idx="548">
                  <c:v>8.2194638609503601E-2</c:v>
                </c:pt>
                <c:pt idx="549">
                  <c:v>8.1407099855827281E-2</c:v>
                </c:pt>
                <c:pt idx="550">
                  <c:v>8.1407099855827281E-2</c:v>
                </c:pt>
                <c:pt idx="551">
                  <c:v>8.3824868360355742E-2</c:v>
                </c:pt>
                <c:pt idx="552">
                  <c:v>8.3824868360355742E-2</c:v>
                </c:pt>
                <c:pt idx="553">
                  <c:v>8.8833540508091113E-2</c:v>
                </c:pt>
                <c:pt idx="554">
                  <c:v>8.6183985152389564E-2</c:v>
                </c:pt>
                <c:pt idx="555">
                  <c:v>7.8047644267228433E-2</c:v>
                </c:pt>
                <c:pt idx="556">
                  <c:v>7.3110483714588059E-2</c:v>
                </c:pt>
                <c:pt idx="557">
                  <c:v>8.4960863915358509E-2</c:v>
                </c:pt>
                <c:pt idx="558">
                  <c:v>8.3021244446515041E-2</c:v>
                </c:pt>
                <c:pt idx="559">
                  <c:v>7.8219942326972158E-2</c:v>
                </c:pt>
                <c:pt idx="560">
                  <c:v>7.6748064044770192E-2</c:v>
                </c:pt>
                <c:pt idx="561">
                  <c:v>8.016627837842405E-2</c:v>
                </c:pt>
                <c:pt idx="562">
                  <c:v>8.1868523918152469E-2</c:v>
                </c:pt>
                <c:pt idx="563">
                  <c:v>8.4469413677979999E-2</c:v>
                </c:pt>
                <c:pt idx="564">
                  <c:v>8.0108316407631941E-2</c:v>
                </c:pt>
                <c:pt idx="565">
                  <c:v>8.0876099402699797E-2</c:v>
                </c:pt>
                <c:pt idx="566">
                  <c:v>8.2537207001166069E-2</c:v>
                </c:pt>
                <c:pt idx="567">
                  <c:v>7.875763818151682E-2</c:v>
                </c:pt>
                <c:pt idx="568">
                  <c:v>7.5564749238273388E-2</c:v>
                </c:pt>
                <c:pt idx="569">
                  <c:v>7.8852429038251737E-2</c:v>
                </c:pt>
                <c:pt idx="570">
                  <c:v>7.8852429038251737E-2</c:v>
                </c:pt>
                <c:pt idx="571">
                  <c:v>7.6852527923284009E-2</c:v>
                </c:pt>
                <c:pt idx="572">
                  <c:v>8.0241444207859058E-2</c:v>
                </c:pt>
                <c:pt idx="573">
                  <c:v>7.6601299003833723E-2</c:v>
                </c:pt>
                <c:pt idx="574">
                  <c:v>8.7439117251481457E-2</c:v>
                </c:pt>
                <c:pt idx="575">
                  <c:v>8.4120495867098466E-2</c:v>
                </c:pt>
                <c:pt idx="576">
                  <c:v>7.8376529454583066E-2</c:v>
                </c:pt>
                <c:pt idx="577">
                  <c:v>7.8376529454583066E-2</c:v>
                </c:pt>
                <c:pt idx="578">
                  <c:v>7.7624006940636425E-2</c:v>
                </c:pt>
                <c:pt idx="579">
                  <c:v>7.3946898573003739E-2</c:v>
                </c:pt>
                <c:pt idx="580">
                  <c:v>7.0401716933474301E-2</c:v>
                </c:pt>
                <c:pt idx="581">
                  <c:v>7.3833979922035553E-2</c:v>
                </c:pt>
                <c:pt idx="582">
                  <c:v>7.3123321654207096E-2</c:v>
                </c:pt>
                <c:pt idx="583">
                  <c:v>6.9154947064488326E-2</c:v>
                </c:pt>
                <c:pt idx="584">
                  <c:v>6.7166856676815656E-2</c:v>
                </c:pt>
                <c:pt idx="585">
                  <c:v>6.5414848810977921E-2</c:v>
                </c:pt>
                <c:pt idx="586">
                  <c:v>6.5414848810977921E-2</c:v>
                </c:pt>
                <c:pt idx="587">
                  <c:v>6.5414848810977921E-2</c:v>
                </c:pt>
                <c:pt idx="588">
                  <c:v>6.2491764818353168E-2</c:v>
                </c:pt>
                <c:pt idx="589">
                  <c:v>5.8375093964853408E-2</c:v>
                </c:pt>
                <c:pt idx="590">
                  <c:v>5.8941294783377285E-2</c:v>
                </c:pt>
                <c:pt idx="591">
                  <c:v>5.6171194311925743E-2</c:v>
                </c:pt>
                <c:pt idx="592">
                  <c:v>5.4291355718050549E-2</c:v>
                </c:pt>
                <c:pt idx="593">
                  <c:v>5.0251081495583327E-2</c:v>
                </c:pt>
                <c:pt idx="594">
                  <c:v>5.0251081495583327E-2</c:v>
                </c:pt>
                <c:pt idx="595">
                  <c:v>5.0251081495583327E-2</c:v>
                </c:pt>
                <c:pt idx="596">
                  <c:v>5.0740623278517361E-2</c:v>
                </c:pt>
                <c:pt idx="597">
                  <c:v>5.3343027687789979E-2</c:v>
                </c:pt>
                <c:pt idx="598">
                  <c:v>5.3343027687789979E-2</c:v>
                </c:pt>
                <c:pt idx="599">
                  <c:v>5.7787130219837168E-2</c:v>
                </c:pt>
                <c:pt idx="600">
                  <c:v>5.5457103387149154E-2</c:v>
                </c:pt>
                <c:pt idx="601">
                  <c:v>6.1366453382916242E-2</c:v>
                </c:pt>
                <c:pt idx="602">
                  <c:v>6.1366453382916242E-2</c:v>
                </c:pt>
                <c:pt idx="603">
                  <c:v>5.220489398972783E-2</c:v>
                </c:pt>
                <c:pt idx="604">
                  <c:v>5.1696579063617909E-2</c:v>
                </c:pt>
                <c:pt idx="605">
                  <c:v>5.1696579063617909E-2</c:v>
                </c:pt>
                <c:pt idx="606">
                  <c:v>5.2963327078278111E-2</c:v>
                </c:pt>
                <c:pt idx="607">
                  <c:v>6.1293145847956754E-2</c:v>
                </c:pt>
                <c:pt idx="608">
                  <c:v>5.6756652599174506E-2</c:v>
                </c:pt>
                <c:pt idx="609">
                  <c:v>6.2373728685762075E-2</c:v>
                </c:pt>
                <c:pt idx="610">
                  <c:v>6.6100641904239477E-2</c:v>
                </c:pt>
                <c:pt idx="611">
                  <c:v>6.431919071308434E-2</c:v>
                </c:pt>
                <c:pt idx="612">
                  <c:v>6.431919071308434E-2</c:v>
                </c:pt>
                <c:pt idx="613">
                  <c:v>6.0645623136146187E-2</c:v>
                </c:pt>
                <c:pt idx="614">
                  <c:v>5.7551146358432725E-2</c:v>
                </c:pt>
                <c:pt idx="615">
                  <c:v>6.2875000041536566E-2</c:v>
                </c:pt>
                <c:pt idx="616">
                  <c:v>6.756175564870559E-2</c:v>
                </c:pt>
                <c:pt idx="617">
                  <c:v>6.756175564870559E-2</c:v>
                </c:pt>
                <c:pt idx="618">
                  <c:v>6.4420200577474995E-2</c:v>
                </c:pt>
                <c:pt idx="619">
                  <c:v>7.4248929187267554E-2</c:v>
                </c:pt>
                <c:pt idx="620">
                  <c:v>0.10505239431778401</c:v>
                </c:pt>
                <c:pt idx="621">
                  <c:v>8.0835519671746736E-2</c:v>
                </c:pt>
                <c:pt idx="622">
                  <c:v>8.3614811152254553E-2</c:v>
                </c:pt>
                <c:pt idx="623">
                  <c:v>9.2250617787730915E-2</c:v>
                </c:pt>
                <c:pt idx="624">
                  <c:v>0.10450615300741162</c:v>
                </c:pt>
                <c:pt idx="625">
                  <c:v>0.10905178845197239</c:v>
                </c:pt>
                <c:pt idx="626">
                  <c:v>0.10802242548195629</c:v>
                </c:pt>
                <c:pt idx="627">
                  <c:v>0.10700218464452127</c:v>
                </c:pt>
                <c:pt idx="628">
                  <c:v>9.2480374031391421E-2</c:v>
                </c:pt>
                <c:pt idx="629">
                  <c:v>9.1599288766035958E-2</c:v>
                </c:pt>
                <c:pt idx="630">
                  <c:v>9.1599288766035958E-2</c:v>
                </c:pt>
                <c:pt idx="631">
                  <c:v>8.6412770594249122E-2</c:v>
                </c:pt>
                <c:pt idx="632">
                  <c:v>9.6432036401427945E-2</c:v>
                </c:pt>
                <c:pt idx="633">
                  <c:v>0.10862966389787132</c:v>
                </c:pt>
                <c:pt idx="634">
                  <c:v>0.10294904690615314</c:v>
                </c:pt>
                <c:pt idx="635">
                  <c:v>0.10107505893658175</c:v>
                </c:pt>
                <c:pt idx="636">
                  <c:v>9.8777522903449322E-2</c:v>
                </c:pt>
                <c:pt idx="637">
                  <c:v>9.6539966517738329E-2</c:v>
                </c:pt>
                <c:pt idx="638">
                  <c:v>9.2656112697866111E-2</c:v>
                </c:pt>
                <c:pt idx="639">
                  <c:v>8.8776887846202635E-2</c:v>
                </c:pt>
                <c:pt idx="640">
                  <c:v>9.4255208779041477E-2</c:v>
                </c:pt>
                <c:pt idx="641">
                  <c:v>8.947990347258139E-2</c:v>
                </c:pt>
                <c:pt idx="642">
                  <c:v>9.0333018796410869E-2</c:v>
                </c:pt>
                <c:pt idx="643">
                  <c:v>9.1193853916401113E-2</c:v>
                </c:pt>
                <c:pt idx="644">
                  <c:v>9.4021722584481493E-2</c:v>
                </c:pt>
                <c:pt idx="645">
                  <c:v>0.10563037795122221</c:v>
                </c:pt>
                <c:pt idx="646">
                  <c:v>0.10183015088886094</c:v>
                </c:pt>
                <c:pt idx="647">
                  <c:v>0.10086503345974618</c:v>
                </c:pt>
                <c:pt idx="648">
                  <c:v>0.10549598070999811</c:v>
                </c:pt>
                <c:pt idx="649">
                  <c:v>0.10649267072418467</c:v>
                </c:pt>
                <c:pt idx="650">
                  <c:v>0.10888555226818464</c:v>
                </c:pt>
                <c:pt idx="651">
                  <c:v>0.10785766167224298</c:v>
                </c:pt>
                <c:pt idx="652">
                  <c:v>0.1148904557874656</c:v>
                </c:pt>
                <c:pt idx="653">
                  <c:v>0.1148904557874656</c:v>
                </c:pt>
                <c:pt idx="654">
                  <c:v>0.12311272376437044</c:v>
                </c:pt>
                <c:pt idx="655">
                  <c:v>0.1255799831166754</c:v>
                </c:pt>
                <c:pt idx="656">
                  <c:v>0.13500736386890677</c:v>
                </c:pt>
                <c:pt idx="657">
                  <c:v>0.13500736386890677</c:v>
                </c:pt>
                <c:pt idx="658">
                  <c:v>0.14171211832748942</c:v>
                </c:pt>
                <c:pt idx="659">
                  <c:v>0.13620612974622981</c:v>
                </c:pt>
                <c:pt idx="660">
                  <c:v>0.12600077989689251</c:v>
                </c:pt>
                <c:pt idx="661">
                  <c:v>0.14993512357697725</c:v>
                </c:pt>
                <c:pt idx="662">
                  <c:v>0.15056042311216389</c:v>
                </c:pt>
                <c:pt idx="663">
                  <c:v>0.1351756331288837</c:v>
                </c:pt>
                <c:pt idx="664">
                  <c:v>0.13643069591964996</c:v>
                </c:pt>
                <c:pt idx="665">
                  <c:v>0.13228535419492582</c:v>
                </c:pt>
                <c:pt idx="666">
                  <c:v>0.13105325942383317</c:v>
                </c:pt>
                <c:pt idx="667">
                  <c:v>0.1288641584145096</c:v>
                </c:pt>
                <c:pt idx="668">
                  <c:v>0.13715279867645769</c:v>
                </c:pt>
                <c:pt idx="669">
                  <c:v>0.13402163851039928</c:v>
                </c:pt>
                <c:pt idx="670">
                  <c:v>0.13710584207049381</c:v>
                </c:pt>
                <c:pt idx="671">
                  <c:v>0.14406981649102035</c:v>
                </c:pt>
                <c:pt idx="672">
                  <c:v>0.15790849321069256</c:v>
                </c:pt>
                <c:pt idx="673">
                  <c:v>0.15178552488118369</c:v>
                </c:pt>
                <c:pt idx="674">
                  <c:v>0.14935163272812291</c:v>
                </c:pt>
                <c:pt idx="675">
                  <c:v>0.1507264989364252</c:v>
                </c:pt>
                <c:pt idx="676">
                  <c:v>0.16284572556470933</c:v>
                </c:pt>
                <c:pt idx="677">
                  <c:v>0.17588129109466089</c:v>
                </c:pt>
                <c:pt idx="678">
                  <c:v>0.17675283136310171</c:v>
                </c:pt>
                <c:pt idx="679">
                  <c:v>0.17367174564345789</c:v>
                </c:pt>
                <c:pt idx="680">
                  <c:v>0.17659923728724425</c:v>
                </c:pt>
                <c:pt idx="681">
                  <c:v>0.19387286350109234</c:v>
                </c:pt>
                <c:pt idx="682">
                  <c:v>0.17781603318660411</c:v>
                </c:pt>
                <c:pt idx="683">
                  <c:v>0.16750500210635733</c:v>
                </c:pt>
                <c:pt idx="684">
                  <c:v>0.1552511562850909</c:v>
                </c:pt>
                <c:pt idx="685">
                  <c:v>0.14498606586829277</c:v>
                </c:pt>
                <c:pt idx="686">
                  <c:v>0.12561559892681395</c:v>
                </c:pt>
                <c:pt idx="687">
                  <c:v>0.13994720703307195</c:v>
                </c:pt>
                <c:pt idx="688">
                  <c:v>0.13764553005359392</c:v>
                </c:pt>
                <c:pt idx="689">
                  <c:v>0.14953861474395902</c:v>
                </c:pt>
                <c:pt idx="690">
                  <c:v>0.13672222287309066</c:v>
                </c:pt>
                <c:pt idx="691">
                  <c:v>0.13545210911532846</c:v>
                </c:pt>
                <c:pt idx="692">
                  <c:v>0.13738349086000146</c:v>
                </c:pt>
                <c:pt idx="693">
                  <c:v>0.14238205727685205</c:v>
                </c:pt>
                <c:pt idx="694">
                  <c:v>0.14238205727685205</c:v>
                </c:pt>
                <c:pt idx="695">
                  <c:v>0.14621363938932186</c:v>
                </c:pt>
                <c:pt idx="696">
                  <c:v>0.14486295548886141</c:v>
                </c:pt>
                <c:pt idx="697">
                  <c:v>0.14157232588893209</c:v>
                </c:pt>
                <c:pt idx="698">
                  <c:v>0.13712162945709683</c:v>
                </c:pt>
                <c:pt idx="699">
                  <c:v>0.14622575469507459</c:v>
                </c:pt>
                <c:pt idx="700">
                  <c:v>0.14350458051385051</c:v>
                </c:pt>
                <c:pt idx="701">
                  <c:v>0.12813101301425134</c:v>
                </c:pt>
                <c:pt idx="702">
                  <c:v>0.12427085966767493</c:v>
                </c:pt>
                <c:pt idx="703">
                  <c:v>0.11900128670976173</c:v>
                </c:pt>
                <c:pt idx="704">
                  <c:v>0.11437797643372272</c:v>
                </c:pt>
                <c:pt idx="705">
                  <c:v>0.12443086061768593</c:v>
                </c:pt>
                <c:pt idx="706">
                  <c:v>0.11729973078520717</c:v>
                </c:pt>
                <c:pt idx="707">
                  <c:v>0.11077581119523339</c:v>
                </c:pt>
                <c:pt idx="708">
                  <c:v>0.10566330589870432</c:v>
                </c:pt>
                <c:pt idx="709">
                  <c:v>0.10906059970226978</c:v>
                </c:pt>
                <c:pt idx="710">
                  <c:v>0.10703591854336114</c:v>
                </c:pt>
                <c:pt idx="711">
                  <c:v>0.10278009803297172</c:v>
                </c:pt>
                <c:pt idx="712">
                  <c:v>0.11159285981488254</c:v>
                </c:pt>
                <c:pt idx="713">
                  <c:v>0.11054102856711367</c:v>
                </c:pt>
                <c:pt idx="714">
                  <c:v>0.10832445532733415</c:v>
                </c:pt>
                <c:pt idx="715">
                  <c:v>0.11315232171687428</c:v>
                </c:pt>
                <c:pt idx="716">
                  <c:v>0.11315232171687428</c:v>
                </c:pt>
                <c:pt idx="717">
                  <c:v>0.10595545534325224</c:v>
                </c:pt>
                <c:pt idx="718">
                  <c:v>0.11077390017446276</c:v>
                </c:pt>
                <c:pt idx="719">
                  <c:v>0.11877746690238167</c:v>
                </c:pt>
                <c:pt idx="720">
                  <c:v>0.12356726003121465</c:v>
                </c:pt>
                <c:pt idx="721">
                  <c:v>0.12953751454669327</c:v>
                </c:pt>
                <c:pt idx="722">
                  <c:v>0.12646953403269245</c:v>
                </c:pt>
                <c:pt idx="723">
                  <c:v>0.12221866547923055</c:v>
                </c:pt>
                <c:pt idx="724">
                  <c:v>0.1086806271582591</c:v>
                </c:pt>
                <c:pt idx="725">
                  <c:v>0.10445417416555358</c:v>
                </c:pt>
                <c:pt idx="726">
                  <c:v>0.10544161242420236</c:v>
                </c:pt>
                <c:pt idx="727">
                  <c:v>0.10444429428066482</c:v>
                </c:pt>
                <c:pt idx="728">
                  <c:v>9.9219144237641665E-2</c:v>
                </c:pt>
                <c:pt idx="729">
                  <c:v>9.6932615953632895E-2</c:v>
                </c:pt>
                <c:pt idx="730">
                  <c:v>9.7852897123312688E-2</c:v>
                </c:pt>
                <c:pt idx="731">
                  <c:v>9.6923408402693423E-2</c:v>
                </c:pt>
                <c:pt idx="732">
                  <c:v>9.292829212202558E-2</c:v>
                </c:pt>
                <c:pt idx="733">
                  <c:v>9.2043159293691668E-2</c:v>
                </c:pt>
                <c:pt idx="734">
                  <c:v>9.2919445066413475E-2</c:v>
                </c:pt>
                <c:pt idx="735">
                  <c:v>8.8559100106411881E-2</c:v>
                </c:pt>
                <c:pt idx="736">
                  <c:v>8.5505892164891462E-2</c:v>
                </c:pt>
                <c:pt idx="737">
                  <c:v>8.853852288108166E-2</c:v>
                </c:pt>
                <c:pt idx="738">
                  <c:v>8.3208216810605529E-2</c:v>
                </c:pt>
                <c:pt idx="739">
                  <c:v>8.8850601956409592E-2</c:v>
                </c:pt>
                <c:pt idx="740">
                  <c:v>8.6347703120004504E-2</c:v>
                </c:pt>
                <c:pt idx="741">
                  <c:v>8.6347703120004504E-2</c:v>
                </c:pt>
                <c:pt idx="742">
                  <c:v>8.6347703120004504E-2</c:v>
                </c:pt>
                <c:pt idx="743">
                  <c:v>8.6347703120004504E-2</c:v>
                </c:pt>
                <c:pt idx="744">
                  <c:v>8.168214105264382E-2</c:v>
                </c:pt>
                <c:pt idx="745">
                  <c:v>8.3357872274752443E-2</c:v>
                </c:pt>
                <c:pt idx="746">
                  <c:v>8.3357872274752443E-2</c:v>
                </c:pt>
                <c:pt idx="747">
                  <c:v>8.2559696642970914E-2</c:v>
                </c:pt>
                <c:pt idx="748">
                  <c:v>8.0484677120115089E-2</c:v>
                </c:pt>
                <c:pt idx="749">
                  <c:v>8.189042670366764E-2</c:v>
                </c:pt>
                <c:pt idx="750">
                  <c:v>8.189042670366764E-2</c:v>
                </c:pt>
                <c:pt idx="751">
                  <c:v>8.2674511066280099E-2</c:v>
                </c:pt>
                <c:pt idx="752">
                  <c:v>8.6177228231659853E-2</c:v>
                </c:pt>
                <c:pt idx="753">
                  <c:v>8.7664164164557579E-2</c:v>
                </c:pt>
                <c:pt idx="754">
                  <c:v>9.1572978065428745E-2</c:v>
                </c:pt>
                <c:pt idx="755">
                  <c:v>8.7156410409909957E-2</c:v>
                </c:pt>
                <c:pt idx="756">
                  <c:v>8.474312359185121E-2</c:v>
                </c:pt>
                <c:pt idx="757">
                  <c:v>8.315149584358883E-2</c:v>
                </c:pt>
                <c:pt idx="758">
                  <c:v>8.0329636609840271E-2</c:v>
                </c:pt>
                <c:pt idx="759">
                  <c:v>8.3471123020951055E-2</c:v>
                </c:pt>
                <c:pt idx="760">
                  <c:v>8.4269637160808708E-2</c:v>
                </c:pt>
                <c:pt idx="761">
                  <c:v>8.1932537629498037E-2</c:v>
                </c:pt>
                <c:pt idx="762">
                  <c:v>7.8344085030626509E-2</c:v>
                </c:pt>
                <c:pt idx="763">
                  <c:v>7.4307497638438025E-2</c:v>
                </c:pt>
                <c:pt idx="764">
                  <c:v>7.2543364540173072E-2</c:v>
                </c:pt>
                <c:pt idx="765">
                  <c:v>8.2257931770903125E-2</c:v>
                </c:pt>
                <c:pt idx="766">
                  <c:v>7.9041850386682322E-2</c:v>
                </c:pt>
                <c:pt idx="767">
                  <c:v>7.4278046818959886E-2</c:v>
                </c:pt>
                <c:pt idx="768">
                  <c:v>7.6287820756161917E-2</c:v>
                </c:pt>
                <c:pt idx="769">
                  <c:v>7.2443571789493677E-2</c:v>
                </c:pt>
                <c:pt idx="770">
                  <c:v>7.2443571789493677E-2</c:v>
                </c:pt>
                <c:pt idx="771">
                  <c:v>7.5571430528837524E-2</c:v>
                </c:pt>
                <c:pt idx="772">
                  <c:v>7.9677906339431392E-2</c:v>
                </c:pt>
                <c:pt idx="773">
                  <c:v>7.7082816488575068E-2</c:v>
                </c:pt>
                <c:pt idx="774">
                  <c:v>7.322740759805102E-2</c:v>
                </c:pt>
                <c:pt idx="775">
                  <c:v>7.322740759805102E-2</c:v>
                </c:pt>
                <c:pt idx="776">
                  <c:v>7.1645359427707334E-2</c:v>
                </c:pt>
                <c:pt idx="777">
                  <c:v>7.1645359427707334E-2</c:v>
                </c:pt>
                <c:pt idx="778">
                  <c:v>6.8725644772621886E-2</c:v>
                </c:pt>
                <c:pt idx="779">
                  <c:v>6.8725644772621886E-2</c:v>
                </c:pt>
                <c:pt idx="780">
                  <c:v>6.3187418790439542E-2</c:v>
                </c:pt>
                <c:pt idx="781">
                  <c:v>6.008107481482361E-2</c:v>
                </c:pt>
                <c:pt idx="782">
                  <c:v>6.008107481482361E-2</c:v>
                </c:pt>
                <c:pt idx="783">
                  <c:v>5.8426946417598824E-2</c:v>
                </c:pt>
                <c:pt idx="784">
                  <c:v>6.0443939790013945E-2</c:v>
                </c:pt>
                <c:pt idx="785">
                  <c:v>7.1951628538442836E-2</c:v>
                </c:pt>
                <c:pt idx="786">
                  <c:v>6.4673268062412026E-2</c:v>
                </c:pt>
                <c:pt idx="787">
                  <c:v>6.5298412567200703E-2</c:v>
                </c:pt>
                <c:pt idx="788">
                  <c:v>6.8457051963387694E-2</c:v>
                </c:pt>
                <c:pt idx="789">
                  <c:v>6.4428774061055183E-2</c:v>
                </c:pt>
                <c:pt idx="790">
                  <c:v>6.2212573324125775E-2</c:v>
                </c:pt>
                <c:pt idx="791">
                  <c:v>7.3818991598421646E-2</c:v>
                </c:pt>
                <c:pt idx="792">
                  <c:v>6.9273671216147581E-2</c:v>
                </c:pt>
                <c:pt idx="793">
                  <c:v>6.6673671490617537E-2</c:v>
                </c:pt>
                <c:pt idx="794">
                  <c:v>6.4772898134595969E-2</c:v>
                </c:pt>
                <c:pt idx="795">
                  <c:v>6.5398971630879488E-2</c:v>
                </c:pt>
                <c:pt idx="796">
                  <c:v>6.8249823726847847E-2</c:v>
                </c:pt>
                <c:pt idx="797">
                  <c:v>7.1377092474954829E-2</c:v>
                </c:pt>
                <c:pt idx="798">
                  <c:v>6.9689171420006968E-2</c:v>
                </c:pt>
                <c:pt idx="799">
                  <c:v>7.4828976401073444E-2</c:v>
                </c:pt>
                <c:pt idx="800">
                  <c:v>7.2600498167361027E-2</c:v>
                </c:pt>
                <c:pt idx="801">
                  <c:v>7.9135760104808495E-2</c:v>
                </c:pt>
                <c:pt idx="802">
                  <c:v>7.9135760104808495E-2</c:v>
                </c:pt>
                <c:pt idx="803">
                  <c:v>8.1416752544412607E-2</c:v>
                </c:pt>
                <c:pt idx="804">
                  <c:v>8.063633511298085E-2</c:v>
                </c:pt>
                <c:pt idx="805">
                  <c:v>8.063633511298085E-2</c:v>
                </c:pt>
                <c:pt idx="806">
                  <c:v>7.0094239995865282E-2</c:v>
                </c:pt>
                <c:pt idx="807">
                  <c:v>7.0769775908254728E-2</c:v>
                </c:pt>
                <c:pt idx="808">
                  <c:v>7.145156904789729E-2</c:v>
                </c:pt>
                <c:pt idx="809">
                  <c:v>6.7699900703036109E-2</c:v>
                </c:pt>
                <c:pt idx="810">
                  <c:v>6.7699900703036109E-2</c:v>
                </c:pt>
                <c:pt idx="811">
                  <c:v>7.144041798380163E-2</c:v>
                </c:pt>
                <c:pt idx="812">
                  <c:v>7.144041798380163E-2</c:v>
                </c:pt>
                <c:pt idx="813">
                  <c:v>7.144041798380163E-2</c:v>
                </c:pt>
                <c:pt idx="814">
                  <c:v>7.2128418118210025E-2</c:v>
                </c:pt>
                <c:pt idx="815">
                  <c:v>7.4179259905891026E-2</c:v>
                </c:pt>
                <c:pt idx="816">
                  <c:v>6.8619804707271137E-2</c:v>
                </c:pt>
                <c:pt idx="817">
                  <c:v>7.3103663058316948E-2</c:v>
                </c:pt>
                <c:pt idx="818">
                  <c:v>7.1369376696158615E-2</c:v>
                </c:pt>
                <c:pt idx="819">
                  <c:v>7.7091828261293127E-2</c:v>
                </c:pt>
                <c:pt idx="820">
                  <c:v>7.7831939391650673E-2</c:v>
                </c:pt>
                <c:pt idx="821">
                  <c:v>8.062875190309593E-2</c:v>
                </c:pt>
                <c:pt idx="822">
                  <c:v>8.1401299044485564E-2</c:v>
                </c:pt>
                <c:pt idx="823">
                  <c:v>7.9882660427658347E-2</c:v>
                </c:pt>
                <c:pt idx="824">
                  <c:v>7.7437489614503918E-2</c:v>
                </c:pt>
                <c:pt idx="825">
                  <c:v>8.2933473318771211E-2</c:v>
                </c:pt>
                <c:pt idx="826">
                  <c:v>9.454127474207541E-2</c:v>
                </c:pt>
                <c:pt idx="827">
                  <c:v>9.0509632842183718E-2</c:v>
                </c:pt>
                <c:pt idx="828">
                  <c:v>8.7918892330110743E-2</c:v>
                </c:pt>
                <c:pt idx="829">
                  <c:v>8.4615693970961137E-2</c:v>
                </c:pt>
                <c:pt idx="830">
                  <c:v>9.7317548614099136E-2</c:v>
                </c:pt>
                <c:pt idx="831">
                  <c:v>0.10125814996859739</c:v>
                </c:pt>
                <c:pt idx="832">
                  <c:v>9.2344844299603657E-2</c:v>
                </c:pt>
                <c:pt idx="833">
                  <c:v>8.6930177773299366E-2</c:v>
                </c:pt>
                <c:pt idx="834">
                  <c:v>8.162450764303919E-2</c:v>
                </c:pt>
                <c:pt idx="835">
                  <c:v>8.305521977089847E-2</c:v>
                </c:pt>
                <c:pt idx="836">
                  <c:v>7.9552526838265081E-2</c:v>
                </c:pt>
                <c:pt idx="837">
                  <c:v>7.8789202408871106E-2</c:v>
                </c:pt>
                <c:pt idx="838">
                  <c:v>7.6501294357175675E-2</c:v>
                </c:pt>
                <c:pt idx="839">
                  <c:v>7.2968721552548965E-2</c:v>
                </c:pt>
                <c:pt idx="840">
                  <c:v>7.045003494890667E-2</c:v>
                </c:pt>
                <c:pt idx="841">
                  <c:v>7.2901555225576509E-2</c:v>
                </c:pt>
                <c:pt idx="842">
                  <c:v>6.9568932545305384E-2</c:v>
                </c:pt>
                <c:pt idx="843">
                  <c:v>7.3173638604445368E-2</c:v>
                </c:pt>
                <c:pt idx="844">
                  <c:v>7.2469084460628608E-2</c:v>
                </c:pt>
                <c:pt idx="845">
                  <c:v>6.8829923684416316E-2</c:v>
                </c:pt>
                <c:pt idx="846">
                  <c:v>6.4490969213599314E-2</c:v>
                </c:pt>
                <c:pt idx="847">
                  <c:v>6.1867962768827889E-2</c:v>
                </c:pt>
                <c:pt idx="848">
                  <c:v>6.3256061048578061E-2</c:v>
                </c:pt>
                <c:pt idx="849">
                  <c:v>6.4706365228705098E-2</c:v>
                </c:pt>
                <c:pt idx="850">
                  <c:v>6.9299117463713311E-2</c:v>
                </c:pt>
                <c:pt idx="851">
                  <c:v>6.9967282118876706E-2</c:v>
                </c:pt>
                <c:pt idx="852">
                  <c:v>7.3743687017438497E-2</c:v>
                </c:pt>
                <c:pt idx="853">
                  <c:v>7.5508557068868165E-2</c:v>
                </c:pt>
                <c:pt idx="854">
                  <c:v>7.1889352357356939E-2</c:v>
                </c:pt>
                <c:pt idx="855">
                  <c:v>6.9559597744074275E-2</c:v>
                </c:pt>
                <c:pt idx="856">
                  <c:v>6.0231553529857651E-2</c:v>
                </c:pt>
                <c:pt idx="857">
                  <c:v>6.0231553529857651E-2</c:v>
                </c:pt>
                <c:pt idx="858">
                  <c:v>5.805729307629659E-2</c:v>
                </c:pt>
                <c:pt idx="859">
                  <c:v>5.5378212013316275E-2</c:v>
                </c:pt>
                <c:pt idx="860">
                  <c:v>5.4839901459465379E-2</c:v>
                </c:pt>
                <c:pt idx="861">
                  <c:v>5.4306671831456321E-2</c:v>
                </c:pt>
                <c:pt idx="862">
                  <c:v>6.0097378551132841E-2</c:v>
                </c:pt>
                <c:pt idx="863">
                  <c:v>6.266794865989489E-2</c:v>
                </c:pt>
                <c:pt idx="864">
                  <c:v>6.5026575940482778E-2</c:v>
                </c:pt>
                <c:pt idx="865">
                  <c:v>6.5026575940482778E-2</c:v>
                </c:pt>
                <c:pt idx="866">
                  <c:v>6.1387240361266304E-2</c:v>
                </c:pt>
                <c:pt idx="867">
                  <c:v>5.3993263614339759E-2</c:v>
                </c:pt>
                <c:pt idx="868">
                  <c:v>5.1490702899553042E-2</c:v>
                </c:pt>
                <c:pt idx="869">
                  <c:v>5.8137118276440525E-2</c:v>
                </c:pt>
                <c:pt idx="870">
                  <c:v>6.1044271356044622E-2</c:v>
                </c:pt>
                <c:pt idx="871">
                  <c:v>6.1044271356044622E-2</c:v>
                </c:pt>
                <c:pt idx="872">
                  <c:v>5.8883069618216211E-2</c:v>
                </c:pt>
                <c:pt idx="873">
                  <c:v>5.661115973205233E-2</c:v>
                </c:pt>
                <c:pt idx="874">
                  <c:v>5.1870562218415794E-2</c:v>
                </c:pt>
                <c:pt idx="875">
                  <c:v>5.1870562218415794E-2</c:v>
                </c:pt>
                <c:pt idx="876">
                  <c:v>4.9069272254403495E-2</c:v>
                </c:pt>
                <c:pt idx="877">
                  <c:v>5.3914506615736491E-2</c:v>
                </c:pt>
                <c:pt idx="878">
                  <c:v>5.7704390822710616E-2</c:v>
                </c:pt>
                <c:pt idx="879">
                  <c:v>5.8264289527297897E-2</c:v>
                </c:pt>
                <c:pt idx="880">
                  <c:v>5.3726893266348164E-2</c:v>
                </c:pt>
                <c:pt idx="881">
                  <c:v>4.7961124276696854E-2</c:v>
                </c:pt>
                <c:pt idx="882">
                  <c:v>4.8428930787800306E-2</c:v>
                </c:pt>
                <c:pt idx="883">
                  <c:v>4.8428930787800306E-2</c:v>
                </c:pt>
                <c:pt idx="884">
                  <c:v>4.628415889148374E-2</c:v>
                </c:pt>
                <c:pt idx="885">
                  <c:v>4.583209049688286E-2</c:v>
                </c:pt>
                <c:pt idx="886">
                  <c:v>4.7643308980791166E-2</c:v>
                </c:pt>
                <c:pt idx="887">
                  <c:v>5.2743492485641696E-2</c:v>
                </c:pt>
                <c:pt idx="888">
                  <c:v>5.2743492485641696E-2</c:v>
                </c:pt>
                <c:pt idx="889">
                  <c:v>4.8913849944719701E-2</c:v>
                </c:pt>
                <c:pt idx="890">
                  <c:v>4.6618297068375392E-2</c:v>
                </c:pt>
                <c:pt idx="891">
                  <c:v>4.6163044671967302E-2</c:v>
                </c:pt>
                <c:pt idx="892">
                  <c:v>6.7078847568952438E-2</c:v>
                </c:pt>
                <c:pt idx="893">
                  <c:v>7.3602843312652433E-2</c:v>
                </c:pt>
                <c:pt idx="894">
                  <c:v>0.13431350138421516</c:v>
                </c:pt>
                <c:pt idx="895">
                  <c:v>0.19305111775719086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76-47D2-8B97-1B3001DC8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5792"/>
        <c:axId val="503115776"/>
      </c:scatterChart>
      <c:scatterChart>
        <c:scatterStyle val="smoothMarker"/>
        <c:varyColors val="0"/>
        <c:ser>
          <c:idx val="1"/>
          <c:order val="1"/>
          <c:tx>
            <c:v>Z-score Macro</c:v>
          </c:tx>
          <c:spPr>
            <a:ln w="44450">
              <a:solidFill>
                <a:schemeClr val="bg1">
                  <a:lumMod val="65000"/>
                </a:schemeClr>
              </a:solidFill>
            </a:ln>
          </c:spPr>
          <c:marker>
            <c:symbol val="none"/>
          </c:marker>
          <c:dPt>
            <c:idx val="896"/>
            <c:marker>
              <c:symbol val="circle"/>
              <c:size val="10"/>
              <c:spPr>
                <a:solidFill>
                  <a:schemeClr val="bg1">
                    <a:lumMod val="50000"/>
                  </a:schemeClr>
                </a:solidFill>
                <a:ln>
                  <a:solidFill>
                    <a:srgbClr val="FF0000"/>
                  </a:solidFill>
                </a:ln>
              </c:spPr>
            </c:marker>
            <c:bubble3D val="0"/>
            <c:spPr>
              <a:ln w="4445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2-AB76-47D2-8B97-1B3001DC8DA1}"/>
              </c:ext>
            </c:extLst>
          </c:dPt>
          <c:xVal>
            <c:numRef>
              <c:f>HISTORIA!$A$2:$A$898</c:f>
              <c:numCache>
                <c:formatCode>d/mm/yyyy;@</c:formatCode>
                <c:ptCount val="897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  <c:pt idx="896">
                  <c:v>44009</c:v>
                </c:pt>
              </c:numCache>
            </c:numRef>
          </c:xVal>
          <c:yVal>
            <c:numRef>
              <c:f>HISTORIA!$M$2:$M$898</c:f>
              <c:numCache>
                <c:formatCode>_(* #,##0.00_);_(* \(#,##0.00\);_(* "-"??_);_(@_)</c:formatCode>
                <c:ptCount val="897"/>
                <c:pt idx="0">
                  <c:v>-1.7781049331020116</c:v>
                </c:pt>
                <c:pt idx="1">
                  <c:v>-1.7781049331020116</c:v>
                </c:pt>
                <c:pt idx="2">
                  <c:v>-1.7781049331020116</c:v>
                </c:pt>
                <c:pt idx="3">
                  <c:v>-1.7781049331020116</c:v>
                </c:pt>
                <c:pt idx="4">
                  <c:v>-1.7781049331020116</c:v>
                </c:pt>
                <c:pt idx="5">
                  <c:v>-1.7781049331020116</c:v>
                </c:pt>
                <c:pt idx="6">
                  <c:v>-1.7781049331020116</c:v>
                </c:pt>
                <c:pt idx="7">
                  <c:v>-1.7781049331020116</c:v>
                </c:pt>
                <c:pt idx="8">
                  <c:v>-1.7781049331020116</c:v>
                </c:pt>
                <c:pt idx="9">
                  <c:v>-1.7781049331020116</c:v>
                </c:pt>
                <c:pt idx="10">
                  <c:v>-1.5374556922780978</c:v>
                </c:pt>
                <c:pt idx="11">
                  <c:v>-1.5374556922780978</c:v>
                </c:pt>
                <c:pt idx="12">
                  <c:v>-1.5374556922780978</c:v>
                </c:pt>
                <c:pt idx="13">
                  <c:v>-1.5374556922780978</c:v>
                </c:pt>
                <c:pt idx="14">
                  <c:v>-1.5374556922780978</c:v>
                </c:pt>
                <c:pt idx="15">
                  <c:v>-1.5374556922780978</c:v>
                </c:pt>
                <c:pt idx="16">
                  <c:v>-1.5374556922780978</c:v>
                </c:pt>
                <c:pt idx="17">
                  <c:v>-1.5374556922780978</c:v>
                </c:pt>
                <c:pt idx="18">
                  <c:v>-1.5374556922780978</c:v>
                </c:pt>
                <c:pt idx="19">
                  <c:v>-1.5374556922780978</c:v>
                </c:pt>
                <c:pt idx="20">
                  <c:v>-1.5374556922780978</c:v>
                </c:pt>
                <c:pt idx="21">
                  <c:v>-1.5374556922780978</c:v>
                </c:pt>
                <c:pt idx="22">
                  <c:v>-1.5374556922780978</c:v>
                </c:pt>
                <c:pt idx="23">
                  <c:v>-0.50944376815805015</c:v>
                </c:pt>
                <c:pt idx="24">
                  <c:v>-0.50944376815805015</c:v>
                </c:pt>
                <c:pt idx="25">
                  <c:v>-0.50944376815805015</c:v>
                </c:pt>
                <c:pt idx="26">
                  <c:v>-0.50944376815805015</c:v>
                </c:pt>
                <c:pt idx="27">
                  <c:v>-0.50944376815805015</c:v>
                </c:pt>
                <c:pt idx="28">
                  <c:v>-0.50944376815805015</c:v>
                </c:pt>
                <c:pt idx="29">
                  <c:v>-0.50944376815805015</c:v>
                </c:pt>
                <c:pt idx="30">
                  <c:v>-0.50944376815805015</c:v>
                </c:pt>
                <c:pt idx="31">
                  <c:v>-0.50944376815805015</c:v>
                </c:pt>
                <c:pt idx="32">
                  <c:v>-0.50944376815805015</c:v>
                </c:pt>
                <c:pt idx="33">
                  <c:v>-0.50944376815805015</c:v>
                </c:pt>
                <c:pt idx="34">
                  <c:v>-0.50944376815805015</c:v>
                </c:pt>
                <c:pt idx="35">
                  <c:v>-0.50944376815805015</c:v>
                </c:pt>
                <c:pt idx="36">
                  <c:v>-0.44683744675100334</c:v>
                </c:pt>
                <c:pt idx="37">
                  <c:v>-0.44683744675100334</c:v>
                </c:pt>
                <c:pt idx="38">
                  <c:v>-0.44683744675100334</c:v>
                </c:pt>
                <c:pt idx="39">
                  <c:v>-0.44683744675100334</c:v>
                </c:pt>
                <c:pt idx="40">
                  <c:v>-0.44683744675100334</c:v>
                </c:pt>
                <c:pt idx="41">
                  <c:v>-0.44683744675100334</c:v>
                </c:pt>
                <c:pt idx="42">
                  <c:v>-0.44683744675100334</c:v>
                </c:pt>
                <c:pt idx="43">
                  <c:v>-0.44683744675100334</c:v>
                </c:pt>
                <c:pt idx="44">
                  <c:v>-0.44683744675100334</c:v>
                </c:pt>
                <c:pt idx="45">
                  <c:v>-0.44683744675100334</c:v>
                </c:pt>
                <c:pt idx="46">
                  <c:v>-0.44683744675100334</c:v>
                </c:pt>
                <c:pt idx="47">
                  <c:v>-0.44683744675100334</c:v>
                </c:pt>
                <c:pt idx="48">
                  <c:v>-0.44683744675100334</c:v>
                </c:pt>
                <c:pt idx="49">
                  <c:v>0.15715040559997212</c:v>
                </c:pt>
                <c:pt idx="50">
                  <c:v>0.15715040559997212</c:v>
                </c:pt>
                <c:pt idx="51">
                  <c:v>0.15715040559997212</c:v>
                </c:pt>
                <c:pt idx="52">
                  <c:v>0.15715040559997212</c:v>
                </c:pt>
                <c:pt idx="53">
                  <c:v>0.15715040559997212</c:v>
                </c:pt>
                <c:pt idx="54">
                  <c:v>0.15715040559997212</c:v>
                </c:pt>
                <c:pt idx="55">
                  <c:v>0.15715040559997212</c:v>
                </c:pt>
                <c:pt idx="56">
                  <c:v>0.15715040559997212</c:v>
                </c:pt>
                <c:pt idx="57">
                  <c:v>0.15715040559997212</c:v>
                </c:pt>
                <c:pt idx="58">
                  <c:v>0.15715040559997212</c:v>
                </c:pt>
                <c:pt idx="59">
                  <c:v>0.15715040559997212</c:v>
                </c:pt>
                <c:pt idx="60">
                  <c:v>0.15715040559997212</c:v>
                </c:pt>
                <c:pt idx="61">
                  <c:v>0.15715040559997212</c:v>
                </c:pt>
                <c:pt idx="62">
                  <c:v>0.18824879844141409</c:v>
                </c:pt>
                <c:pt idx="63">
                  <c:v>0.18824879844141409</c:v>
                </c:pt>
                <c:pt idx="64">
                  <c:v>0.18824879844141409</c:v>
                </c:pt>
                <c:pt idx="65">
                  <c:v>0.18824879844141409</c:v>
                </c:pt>
                <c:pt idx="66">
                  <c:v>0.18824879844141409</c:v>
                </c:pt>
                <c:pt idx="67">
                  <c:v>0.18824879844141409</c:v>
                </c:pt>
                <c:pt idx="68">
                  <c:v>0.18824879844141409</c:v>
                </c:pt>
                <c:pt idx="69">
                  <c:v>0.18824879844141409</c:v>
                </c:pt>
                <c:pt idx="70">
                  <c:v>0.18824879844141409</c:v>
                </c:pt>
                <c:pt idx="71">
                  <c:v>0.18824879844141409</c:v>
                </c:pt>
                <c:pt idx="72">
                  <c:v>0.18824879844141409</c:v>
                </c:pt>
                <c:pt idx="73">
                  <c:v>0.18824879844141409</c:v>
                </c:pt>
                <c:pt idx="74">
                  <c:v>0.18824879844141409</c:v>
                </c:pt>
                <c:pt idx="75">
                  <c:v>-0.27885064136875526</c:v>
                </c:pt>
                <c:pt idx="76">
                  <c:v>-0.27885064136875526</c:v>
                </c:pt>
                <c:pt idx="77">
                  <c:v>-0.27885064136875526</c:v>
                </c:pt>
                <c:pt idx="78">
                  <c:v>-0.27885064136875526</c:v>
                </c:pt>
                <c:pt idx="79">
                  <c:v>-0.27885064136875526</c:v>
                </c:pt>
                <c:pt idx="80">
                  <c:v>-0.27885064136875526</c:v>
                </c:pt>
                <c:pt idx="81">
                  <c:v>-0.27885064136875526</c:v>
                </c:pt>
                <c:pt idx="82">
                  <c:v>-0.27885064136875526</c:v>
                </c:pt>
                <c:pt idx="83">
                  <c:v>-0.27885064136875526</c:v>
                </c:pt>
                <c:pt idx="84">
                  <c:v>-0.27885064136875526</c:v>
                </c:pt>
                <c:pt idx="85">
                  <c:v>-0.27885064136875526</c:v>
                </c:pt>
                <c:pt idx="86">
                  <c:v>-0.27885064136875526</c:v>
                </c:pt>
                <c:pt idx="87">
                  <c:v>-0.27885064136875526</c:v>
                </c:pt>
                <c:pt idx="88">
                  <c:v>-5.1821465383714571E-3</c:v>
                </c:pt>
                <c:pt idx="89">
                  <c:v>-5.1821465383714571E-3</c:v>
                </c:pt>
                <c:pt idx="90">
                  <c:v>-5.1821465383714571E-3</c:v>
                </c:pt>
                <c:pt idx="91">
                  <c:v>-5.1821465383714571E-3</c:v>
                </c:pt>
                <c:pt idx="92">
                  <c:v>-5.1821465383714571E-3</c:v>
                </c:pt>
                <c:pt idx="93">
                  <c:v>-5.1821465383714571E-3</c:v>
                </c:pt>
                <c:pt idx="94">
                  <c:v>-5.1821465383714571E-3</c:v>
                </c:pt>
                <c:pt idx="95">
                  <c:v>-5.1821465383714571E-3</c:v>
                </c:pt>
                <c:pt idx="96">
                  <c:v>-5.1821465383714571E-3</c:v>
                </c:pt>
                <c:pt idx="97">
                  <c:v>-5.1821465383714571E-3</c:v>
                </c:pt>
                <c:pt idx="98">
                  <c:v>-5.1821465383714571E-3</c:v>
                </c:pt>
                <c:pt idx="99">
                  <c:v>-5.1821465383714571E-3</c:v>
                </c:pt>
                <c:pt idx="100">
                  <c:v>-5.1821465383714571E-3</c:v>
                </c:pt>
                <c:pt idx="101">
                  <c:v>0.56563584906964637</c:v>
                </c:pt>
                <c:pt idx="102">
                  <c:v>0.56563584906964637</c:v>
                </c:pt>
                <c:pt idx="103">
                  <c:v>0.56563584906964637</c:v>
                </c:pt>
                <c:pt idx="104">
                  <c:v>0.56563584906964637</c:v>
                </c:pt>
                <c:pt idx="105">
                  <c:v>0.56563584906964637</c:v>
                </c:pt>
                <c:pt idx="106">
                  <c:v>0.56563584906964637</c:v>
                </c:pt>
                <c:pt idx="107">
                  <c:v>0.56563584906964637</c:v>
                </c:pt>
                <c:pt idx="108">
                  <c:v>0.56563584906964637</c:v>
                </c:pt>
                <c:pt idx="109">
                  <c:v>0.56563584906964637</c:v>
                </c:pt>
                <c:pt idx="110">
                  <c:v>0.56563584906964637</c:v>
                </c:pt>
                <c:pt idx="111">
                  <c:v>0.56563584906964637</c:v>
                </c:pt>
                <c:pt idx="112">
                  <c:v>0.56563584906964637</c:v>
                </c:pt>
                <c:pt idx="113">
                  <c:v>0.56563584906964637</c:v>
                </c:pt>
                <c:pt idx="114">
                  <c:v>0.25741563854927335</c:v>
                </c:pt>
                <c:pt idx="115">
                  <c:v>0.25741563854927335</c:v>
                </c:pt>
                <c:pt idx="116">
                  <c:v>0.25741563854927335</c:v>
                </c:pt>
                <c:pt idx="117">
                  <c:v>0.25741563854927335</c:v>
                </c:pt>
                <c:pt idx="118">
                  <c:v>0.25741563854927335</c:v>
                </c:pt>
                <c:pt idx="119">
                  <c:v>0.25741563854927335</c:v>
                </c:pt>
                <c:pt idx="120">
                  <c:v>0.25741563854927335</c:v>
                </c:pt>
                <c:pt idx="121">
                  <c:v>0.25741563854927335</c:v>
                </c:pt>
                <c:pt idx="122">
                  <c:v>0.25741563854927335</c:v>
                </c:pt>
                <c:pt idx="123">
                  <c:v>0.25741563854927335</c:v>
                </c:pt>
                <c:pt idx="124">
                  <c:v>0.25741563854927335</c:v>
                </c:pt>
                <c:pt idx="125">
                  <c:v>0.25741563854927335</c:v>
                </c:pt>
                <c:pt idx="126">
                  <c:v>0.25741563854927335</c:v>
                </c:pt>
                <c:pt idx="127">
                  <c:v>0.60935854957995994</c:v>
                </c:pt>
                <c:pt idx="128">
                  <c:v>0.60935854957995994</c:v>
                </c:pt>
                <c:pt idx="129">
                  <c:v>0.60935854957995994</c:v>
                </c:pt>
                <c:pt idx="130">
                  <c:v>0.60935854957995994</c:v>
                </c:pt>
                <c:pt idx="131">
                  <c:v>0.60935854957995994</c:v>
                </c:pt>
                <c:pt idx="132">
                  <c:v>0.60935854957995994</c:v>
                </c:pt>
                <c:pt idx="133">
                  <c:v>0.60935854957995994</c:v>
                </c:pt>
                <c:pt idx="134">
                  <c:v>0.60935854957995994</c:v>
                </c:pt>
                <c:pt idx="135">
                  <c:v>0.60935854957995994</c:v>
                </c:pt>
                <c:pt idx="136">
                  <c:v>0.60935854957995994</c:v>
                </c:pt>
                <c:pt idx="137">
                  <c:v>0.60935854957995994</c:v>
                </c:pt>
                <c:pt idx="138">
                  <c:v>0.60935854957995994</c:v>
                </c:pt>
                <c:pt idx="139">
                  <c:v>0.60935854957995994</c:v>
                </c:pt>
                <c:pt idx="140">
                  <c:v>0.7348301253817533</c:v>
                </c:pt>
                <c:pt idx="141">
                  <c:v>0.7348301253817533</c:v>
                </c:pt>
                <c:pt idx="142">
                  <c:v>0.7348301253817533</c:v>
                </c:pt>
                <c:pt idx="143">
                  <c:v>0.7348301253817533</c:v>
                </c:pt>
                <c:pt idx="144">
                  <c:v>0.7348301253817533</c:v>
                </c:pt>
                <c:pt idx="145">
                  <c:v>0.7348301253817533</c:v>
                </c:pt>
                <c:pt idx="146">
                  <c:v>0.7348301253817533</c:v>
                </c:pt>
                <c:pt idx="147">
                  <c:v>0.7348301253817533</c:v>
                </c:pt>
                <c:pt idx="148">
                  <c:v>0.7348301253817533</c:v>
                </c:pt>
                <c:pt idx="149">
                  <c:v>0.7348301253817533</c:v>
                </c:pt>
                <c:pt idx="150">
                  <c:v>0.7348301253817533</c:v>
                </c:pt>
                <c:pt idx="151">
                  <c:v>0.7348301253817533</c:v>
                </c:pt>
                <c:pt idx="152">
                  <c:v>0.7348301253817533</c:v>
                </c:pt>
                <c:pt idx="153">
                  <c:v>0.7348301253817533</c:v>
                </c:pt>
                <c:pt idx="154">
                  <c:v>0.64794486282176034</c:v>
                </c:pt>
                <c:pt idx="155">
                  <c:v>0.64794486282176034</c:v>
                </c:pt>
                <c:pt idx="156">
                  <c:v>0.64794486282176034</c:v>
                </c:pt>
                <c:pt idx="157">
                  <c:v>0.64794486282176034</c:v>
                </c:pt>
                <c:pt idx="158">
                  <c:v>0.64794486282176034</c:v>
                </c:pt>
                <c:pt idx="159">
                  <c:v>0.64794486282176034</c:v>
                </c:pt>
                <c:pt idx="160">
                  <c:v>0.64794486282176034</c:v>
                </c:pt>
                <c:pt idx="161">
                  <c:v>0.64794486282176034</c:v>
                </c:pt>
                <c:pt idx="162">
                  <c:v>0.64794486282176034</c:v>
                </c:pt>
                <c:pt idx="163">
                  <c:v>0.64794486282176034</c:v>
                </c:pt>
                <c:pt idx="164">
                  <c:v>0.64794486282176034</c:v>
                </c:pt>
                <c:pt idx="165">
                  <c:v>0.64794486282176034</c:v>
                </c:pt>
                <c:pt idx="166">
                  <c:v>0.73189466850858909</c:v>
                </c:pt>
                <c:pt idx="167">
                  <c:v>0.73189466850858909</c:v>
                </c:pt>
                <c:pt idx="168">
                  <c:v>0.73189466850858909</c:v>
                </c:pt>
                <c:pt idx="169">
                  <c:v>0.73189466850858909</c:v>
                </c:pt>
                <c:pt idx="170">
                  <c:v>0.73189466850858909</c:v>
                </c:pt>
                <c:pt idx="171">
                  <c:v>0.73189466850858909</c:v>
                </c:pt>
                <c:pt idx="172">
                  <c:v>0.73189466850858909</c:v>
                </c:pt>
                <c:pt idx="173">
                  <c:v>0.73189466850858909</c:v>
                </c:pt>
                <c:pt idx="174">
                  <c:v>0.73189466850858909</c:v>
                </c:pt>
                <c:pt idx="175">
                  <c:v>0.73189466850858909</c:v>
                </c:pt>
                <c:pt idx="176">
                  <c:v>0.73189466850858909</c:v>
                </c:pt>
                <c:pt idx="177">
                  <c:v>0.73189466850858909</c:v>
                </c:pt>
                <c:pt idx="178">
                  <c:v>0.73189466850858909</c:v>
                </c:pt>
                <c:pt idx="179">
                  <c:v>0.50747366093857349</c:v>
                </c:pt>
                <c:pt idx="180">
                  <c:v>0.50747366093857349</c:v>
                </c:pt>
                <c:pt idx="181">
                  <c:v>0.50747366093857349</c:v>
                </c:pt>
                <c:pt idx="182">
                  <c:v>0.50747366093857349</c:v>
                </c:pt>
                <c:pt idx="183">
                  <c:v>0.50747366093857349</c:v>
                </c:pt>
                <c:pt idx="184">
                  <c:v>0.50747366093857349</c:v>
                </c:pt>
                <c:pt idx="185">
                  <c:v>0.50747366093857349</c:v>
                </c:pt>
                <c:pt idx="186">
                  <c:v>0.50747366093857349</c:v>
                </c:pt>
                <c:pt idx="187">
                  <c:v>0.50747366093857349</c:v>
                </c:pt>
                <c:pt idx="188">
                  <c:v>0.50747366093857349</c:v>
                </c:pt>
                <c:pt idx="189">
                  <c:v>0.50747366093857349</c:v>
                </c:pt>
                <c:pt idx="190">
                  <c:v>0.50747366093857349</c:v>
                </c:pt>
                <c:pt idx="191">
                  <c:v>0.50747366093857349</c:v>
                </c:pt>
                <c:pt idx="192">
                  <c:v>0.50747366093857349</c:v>
                </c:pt>
                <c:pt idx="193">
                  <c:v>0.74020893119647813</c:v>
                </c:pt>
                <c:pt idx="194">
                  <c:v>0.74020893119647813</c:v>
                </c:pt>
                <c:pt idx="195">
                  <c:v>0.74020893119647813</c:v>
                </c:pt>
                <c:pt idx="196">
                  <c:v>0.74020893119647813</c:v>
                </c:pt>
                <c:pt idx="197">
                  <c:v>0.74020893119647813</c:v>
                </c:pt>
                <c:pt idx="198">
                  <c:v>0.74020893119647813</c:v>
                </c:pt>
                <c:pt idx="199">
                  <c:v>0.74020893119647813</c:v>
                </c:pt>
                <c:pt idx="200">
                  <c:v>0.74020893119647813</c:v>
                </c:pt>
                <c:pt idx="201">
                  <c:v>0.74020893119647813</c:v>
                </c:pt>
                <c:pt idx="202">
                  <c:v>0.74020893119647813</c:v>
                </c:pt>
                <c:pt idx="203">
                  <c:v>0.74020893119647813</c:v>
                </c:pt>
                <c:pt idx="204">
                  <c:v>0.74020893119647813</c:v>
                </c:pt>
                <c:pt idx="205">
                  <c:v>0.74020893119647813</c:v>
                </c:pt>
                <c:pt idx="206">
                  <c:v>0.9876730019077381</c:v>
                </c:pt>
                <c:pt idx="207">
                  <c:v>0.9876730019077381</c:v>
                </c:pt>
                <c:pt idx="208">
                  <c:v>0.9876730019077381</c:v>
                </c:pt>
                <c:pt idx="209">
                  <c:v>0.9876730019077381</c:v>
                </c:pt>
                <c:pt idx="210">
                  <c:v>0.9876730019077381</c:v>
                </c:pt>
                <c:pt idx="211">
                  <c:v>0.9876730019077381</c:v>
                </c:pt>
                <c:pt idx="212">
                  <c:v>0.9876730019077381</c:v>
                </c:pt>
                <c:pt idx="213">
                  <c:v>0.9876730019077381</c:v>
                </c:pt>
                <c:pt idx="214">
                  <c:v>0.9876730019077381</c:v>
                </c:pt>
                <c:pt idx="215">
                  <c:v>0.9876730019077381</c:v>
                </c:pt>
                <c:pt idx="216">
                  <c:v>0.9876730019077381</c:v>
                </c:pt>
                <c:pt idx="217">
                  <c:v>0.9876730019077381</c:v>
                </c:pt>
                <c:pt idx="218">
                  <c:v>0.9876730019077381</c:v>
                </c:pt>
                <c:pt idx="219">
                  <c:v>0.95631163370212457</c:v>
                </c:pt>
                <c:pt idx="220">
                  <c:v>0.95631163370212457</c:v>
                </c:pt>
                <c:pt idx="221">
                  <c:v>0.95631163370212457</c:v>
                </c:pt>
                <c:pt idx="222">
                  <c:v>0.95631163370212457</c:v>
                </c:pt>
                <c:pt idx="223">
                  <c:v>0.95631163370212457</c:v>
                </c:pt>
                <c:pt idx="224">
                  <c:v>0.95631163370212457</c:v>
                </c:pt>
                <c:pt idx="225">
                  <c:v>0.95631163370212457</c:v>
                </c:pt>
                <c:pt idx="226">
                  <c:v>0.95631163370212457</c:v>
                </c:pt>
                <c:pt idx="227">
                  <c:v>0.95631163370212457</c:v>
                </c:pt>
                <c:pt idx="228">
                  <c:v>0.95631163370212457</c:v>
                </c:pt>
                <c:pt idx="229">
                  <c:v>0.95631163370212457</c:v>
                </c:pt>
                <c:pt idx="230">
                  <c:v>0.95631163370212457</c:v>
                </c:pt>
                <c:pt idx="231">
                  <c:v>0.95631163370212457</c:v>
                </c:pt>
                <c:pt idx="232">
                  <c:v>1.0215505922780264</c:v>
                </c:pt>
                <c:pt idx="233">
                  <c:v>1.0215505922780264</c:v>
                </c:pt>
                <c:pt idx="234">
                  <c:v>1.0215505922780264</c:v>
                </c:pt>
                <c:pt idx="235">
                  <c:v>1.0215505922780264</c:v>
                </c:pt>
                <c:pt idx="236">
                  <c:v>1.0215505922780264</c:v>
                </c:pt>
                <c:pt idx="237">
                  <c:v>1.0215505922780264</c:v>
                </c:pt>
                <c:pt idx="238">
                  <c:v>1.0215505922780264</c:v>
                </c:pt>
                <c:pt idx="239">
                  <c:v>1.0215505922780264</c:v>
                </c:pt>
                <c:pt idx="240">
                  <c:v>1.0215505922780264</c:v>
                </c:pt>
                <c:pt idx="241">
                  <c:v>1.0215505922780264</c:v>
                </c:pt>
                <c:pt idx="242">
                  <c:v>1.0215505922780264</c:v>
                </c:pt>
                <c:pt idx="243">
                  <c:v>1.0215505922780264</c:v>
                </c:pt>
                <c:pt idx="244">
                  <c:v>1.0215505922780264</c:v>
                </c:pt>
                <c:pt idx="245">
                  <c:v>1.0805869413432609</c:v>
                </c:pt>
                <c:pt idx="246">
                  <c:v>1.0805869413432609</c:v>
                </c:pt>
                <c:pt idx="247">
                  <c:v>1.0805869413432609</c:v>
                </c:pt>
                <c:pt idx="248">
                  <c:v>1.0805869413432609</c:v>
                </c:pt>
                <c:pt idx="249">
                  <c:v>1.0805869413432609</c:v>
                </c:pt>
                <c:pt idx="250">
                  <c:v>1.0805869413432609</c:v>
                </c:pt>
                <c:pt idx="251">
                  <c:v>1.0805869413432609</c:v>
                </c:pt>
                <c:pt idx="252">
                  <c:v>1.0805869413432609</c:v>
                </c:pt>
                <c:pt idx="253">
                  <c:v>1.0805869413432609</c:v>
                </c:pt>
                <c:pt idx="254">
                  <c:v>1.0805869413432609</c:v>
                </c:pt>
                <c:pt idx="255">
                  <c:v>1.0805869413432609</c:v>
                </c:pt>
                <c:pt idx="256">
                  <c:v>1.0805869413432609</c:v>
                </c:pt>
                <c:pt idx="257">
                  <c:v>1.0805869413432609</c:v>
                </c:pt>
                <c:pt idx="258">
                  <c:v>0.88509481087094788</c:v>
                </c:pt>
                <c:pt idx="259">
                  <c:v>0.88509481087094788</c:v>
                </c:pt>
                <c:pt idx="260">
                  <c:v>0.88509481087094788</c:v>
                </c:pt>
                <c:pt idx="261">
                  <c:v>0.88509481087094788</c:v>
                </c:pt>
                <c:pt idx="262">
                  <c:v>0.88509481087094788</c:v>
                </c:pt>
                <c:pt idx="263">
                  <c:v>0.88509481087094788</c:v>
                </c:pt>
                <c:pt idx="264">
                  <c:v>0.88509481087094788</c:v>
                </c:pt>
                <c:pt idx="265">
                  <c:v>0.88509481087094788</c:v>
                </c:pt>
                <c:pt idx="266">
                  <c:v>0.88509481087094788</c:v>
                </c:pt>
                <c:pt idx="267">
                  <c:v>0.88509481087094788</c:v>
                </c:pt>
                <c:pt idx="268">
                  <c:v>0.88509481087094788</c:v>
                </c:pt>
                <c:pt idx="269">
                  <c:v>0.88509481087094788</c:v>
                </c:pt>
                <c:pt idx="270">
                  <c:v>0.88509481087094788</c:v>
                </c:pt>
                <c:pt idx="271">
                  <c:v>0.45298214602960035</c:v>
                </c:pt>
                <c:pt idx="272">
                  <c:v>0.45298214602960035</c:v>
                </c:pt>
                <c:pt idx="273">
                  <c:v>0.45298214602960035</c:v>
                </c:pt>
                <c:pt idx="274">
                  <c:v>0.45298214602960035</c:v>
                </c:pt>
                <c:pt idx="275">
                  <c:v>0.45298214602960035</c:v>
                </c:pt>
                <c:pt idx="276">
                  <c:v>0.45298214602960035</c:v>
                </c:pt>
                <c:pt idx="277">
                  <c:v>0.45298214602960035</c:v>
                </c:pt>
                <c:pt idx="278">
                  <c:v>0.45298214602960035</c:v>
                </c:pt>
                <c:pt idx="279">
                  <c:v>0.45298214602960035</c:v>
                </c:pt>
                <c:pt idx="280">
                  <c:v>0.45298214602960035</c:v>
                </c:pt>
                <c:pt idx="281">
                  <c:v>0.45298214602960035</c:v>
                </c:pt>
                <c:pt idx="282">
                  <c:v>0.45298214602960035</c:v>
                </c:pt>
                <c:pt idx="283">
                  <c:v>0.45298214602960035</c:v>
                </c:pt>
                <c:pt idx="284">
                  <c:v>0.40208266406529902</c:v>
                </c:pt>
                <c:pt idx="285">
                  <c:v>0.40208266406529902</c:v>
                </c:pt>
                <c:pt idx="286">
                  <c:v>0.40208266406529902</c:v>
                </c:pt>
                <c:pt idx="287">
                  <c:v>0.40208266406529902</c:v>
                </c:pt>
                <c:pt idx="288">
                  <c:v>0.40208266406529902</c:v>
                </c:pt>
                <c:pt idx="289">
                  <c:v>0.40208266406529902</c:v>
                </c:pt>
                <c:pt idx="290">
                  <c:v>0.40208266406529902</c:v>
                </c:pt>
                <c:pt idx="291">
                  <c:v>0.40208266406529902</c:v>
                </c:pt>
                <c:pt idx="292">
                  <c:v>0.40208266406529902</c:v>
                </c:pt>
                <c:pt idx="293">
                  <c:v>0.40208266406529902</c:v>
                </c:pt>
                <c:pt idx="294">
                  <c:v>0.40208266406529902</c:v>
                </c:pt>
                <c:pt idx="295">
                  <c:v>0.40208266406529902</c:v>
                </c:pt>
                <c:pt idx="296">
                  <c:v>0.40208266406529902</c:v>
                </c:pt>
                <c:pt idx="297">
                  <c:v>-0.68227476444905044</c:v>
                </c:pt>
                <c:pt idx="298">
                  <c:v>-0.68227476444905044</c:v>
                </c:pt>
                <c:pt idx="299">
                  <c:v>-0.68227476444905044</c:v>
                </c:pt>
                <c:pt idx="300">
                  <c:v>-0.68227476444905044</c:v>
                </c:pt>
                <c:pt idx="301">
                  <c:v>-0.68227476444905044</c:v>
                </c:pt>
                <c:pt idx="302">
                  <c:v>-0.68227476444905044</c:v>
                </c:pt>
                <c:pt idx="303">
                  <c:v>-0.68227476444905044</c:v>
                </c:pt>
                <c:pt idx="304">
                  <c:v>-0.68227476444905044</c:v>
                </c:pt>
                <c:pt idx="305">
                  <c:v>-0.68227476444905044</c:v>
                </c:pt>
                <c:pt idx="306">
                  <c:v>-0.68227476444905044</c:v>
                </c:pt>
                <c:pt idx="307">
                  <c:v>-0.68227476444905044</c:v>
                </c:pt>
                <c:pt idx="308">
                  <c:v>-0.68227476444905044</c:v>
                </c:pt>
                <c:pt idx="309">
                  <c:v>-0.68227476444905044</c:v>
                </c:pt>
                <c:pt idx="310">
                  <c:v>-2.3837398134202026</c:v>
                </c:pt>
                <c:pt idx="311">
                  <c:v>-2.3837398134202026</c:v>
                </c:pt>
                <c:pt idx="312">
                  <c:v>-2.3837398134202026</c:v>
                </c:pt>
                <c:pt idx="313">
                  <c:v>-2.3837398134202026</c:v>
                </c:pt>
                <c:pt idx="314">
                  <c:v>-2.3837398134202026</c:v>
                </c:pt>
                <c:pt idx="315">
                  <c:v>-2.3837398134202026</c:v>
                </c:pt>
                <c:pt idx="316">
                  <c:v>-2.3837398134202026</c:v>
                </c:pt>
                <c:pt idx="317">
                  <c:v>-2.3837398134202026</c:v>
                </c:pt>
                <c:pt idx="318">
                  <c:v>-2.3837398134202026</c:v>
                </c:pt>
                <c:pt idx="319">
                  <c:v>-2.3837398134202026</c:v>
                </c:pt>
                <c:pt idx="320">
                  <c:v>-2.3837398134202026</c:v>
                </c:pt>
                <c:pt idx="321">
                  <c:v>-2.3837398134202026</c:v>
                </c:pt>
                <c:pt idx="322">
                  <c:v>-2.3837398134202026</c:v>
                </c:pt>
                <c:pt idx="323">
                  <c:v>-2.831000278934301</c:v>
                </c:pt>
                <c:pt idx="324">
                  <c:v>-2.831000278934301</c:v>
                </c:pt>
                <c:pt idx="325">
                  <c:v>-2.831000278934301</c:v>
                </c:pt>
                <c:pt idx="326">
                  <c:v>-2.831000278934301</c:v>
                </c:pt>
                <c:pt idx="327">
                  <c:v>-2.831000278934301</c:v>
                </c:pt>
                <c:pt idx="328">
                  <c:v>-2.831000278934301</c:v>
                </c:pt>
                <c:pt idx="329">
                  <c:v>-2.831000278934301</c:v>
                </c:pt>
                <c:pt idx="330">
                  <c:v>-2.831000278934301</c:v>
                </c:pt>
                <c:pt idx="331">
                  <c:v>-2.831000278934301</c:v>
                </c:pt>
                <c:pt idx="332">
                  <c:v>-2.831000278934301</c:v>
                </c:pt>
                <c:pt idx="333">
                  <c:v>-2.831000278934301</c:v>
                </c:pt>
                <c:pt idx="334">
                  <c:v>-2.831000278934301</c:v>
                </c:pt>
                <c:pt idx="335">
                  <c:v>-2.831000278934301</c:v>
                </c:pt>
                <c:pt idx="336">
                  <c:v>-1.2906623943811792</c:v>
                </c:pt>
                <c:pt idx="337">
                  <c:v>-1.2906623943811792</c:v>
                </c:pt>
                <c:pt idx="338">
                  <c:v>-1.2906623943811792</c:v>
                </c:pt>
                <c:pt idx="339">
                  <c:v>-1.2906623943811792</c:v>
                </c:pt>
                <c:pt idx="340">
                  <c:v>-1.2906623943811792</c:v>
                </c:pt>
                <c:pt idx="341">
                  <c:v>-1.2906623943811792</c:v>
                </c:pt>
                <c:pt idx="342">
                  <c:v>-1.2906623943811792</c:v>
                </c:pt>
                <c:pt idx="343">
                  <c:v>-1.2906623943811792</c:v>
                </c:pt>
                <c:pt idx="344">
                  <c:v>-1.2906623943811792</c:v>
                </c:pt>
                <c:pt idx="345">
                  <c:v>-1.2906623943811792</c:v>
                </c:pt>
                <c:pt idx="346">
                  <c:v>-1.2906623943811792</c:v>
                </c:pt>
                <c:pt idx="347">
                  <c:v>-1.2906623943811792</c:v>
                </c:pt>
                <c:pt idx="348">
                  <c:v>-1.2906623943811792</c:v>
                </c:pt>
                <c:pt idx="349">
                  <c:v>-0.25512328494529701</c:v>
                </c:pt>
                <c:pt idx="350">
                  <c:v>-0.25512328494529701</c:v>
                </c:pt>
                <c:pt idx="351">
                  <c:v>-0.25512328494529701</c:v>
                </c:pt>
                <c:pt idx="352">
                  <c:v>-0.25512328494529701</c:v>
                </c:pt>
                <c:pt idx="353">
                  <c:v>-0.25512328494529701</c:v>
                </c:pt>
                <c:pt idx="354">
                  <c:v>-0.25512328494529701</c:v>
                </c:pt>
                <c:pt idx="355">
                  <c:v>-0.25512328494529701</c:v>
                </c:pt>
                <c:pt idx="356">
                  <c:v>-0.25512328494529701</c:v>
                </c:pt>
                <c:pt idx="357">
                  <c:v>-0.25512328494529701</c:v>
                </c:pt>
                <c:pt idx="358">
                  <c:v>-0.25512328494529701</c:v>
                </c:pt>
                <c:pt idx="359">
                  <c:v>-0.25512328494529701</c:v>
                </c:pt>
                <c:pt idx="360">
                  <c:v>-0.25512328494529701</c:v>
                </c:pt>
                <c:pt idx="361">
                  <c:v>-0.25512328494529701</c:v>
                </c:pt>
                <c:pt idx="362">
                  <c:v>-2.5035897001945195E-2</c:v>
                </c:pt>
                <c:pt idx="363">
                  <c:v>-2.5035897001945195E-2</c:v>
                </c:pt>
                <c:pt idx="364">
                  <c:v>-2.5035897001945195E-2</c:v>
                </c:pt>
                <c:pt idx="365">
                  <c:v>-2.5035897001945195E-2</c:v>
                </c:pt>
                <c:pt idx="366">
                  <c:v>-2.5035897001945195E-2</c:v>
                </c:pt>
                <c:pt idx="367">
                  <c:v>-2.5035897001945195E-2</c:v>
                </c:pt>
                <c:pt idx="368">
                  <c:v>-2.5035897001945195E-2</c:v>
                </c:pt>
                <c:pt idx="369">
                  <c:v>-2.5035897001945195E-2</c:v>
                </c:pt>
                <c:pt idx="370">
                  <c:v>-2.5035897001945195E-2</c:v>
                </c:pt>
                <c:pt idx="371">
                  <c:v>-2.5035897001945195E-2</c:v>
                </c:pt>
                <c:pt idx="372">
                  <c:v>-2.5035897001945195E-2</c:v>
                </c:pt>
                <c:pt idx="373">
                  <c:v>-2.5035897001945195E-2</c:v>
                </c:pt>
                <c:pt idx="374">
                  <c:v>-2.5035897001945195E-2</c:v>
                </c:pt>
                <c:pt idx="375">
                  <c:v>0.1422319719837542</c:v>
                </c:pt>
                <c:pt idx="376">
                  <c:v>0.1422319719837542</c:v>
                </c:pt>
                <c:pt idx="377">
                  <c:v>0.1422319719837542</c:v>
                </c:pt>
                <c:pt idx="378">
                  <c:v>0.1422319719837542</c:v>
                </c:pt>
                <c:pt idx="379">
                  <c:v>0.1422319719837542</c:v>
                </c:pt>
                <c:pt idx="380">
                  <c:v>0.1422319719837542</c:v>
                </c:pt>
                <c:pt idx="381">
                  <c:v>0.1422319719837542</c:v>
                </c:pt>
                <c:pt idx="382">
                  <c:v>0.1422319719837542</c:v>
                </c:pt>
                <c:pt idx="383">
                  <c:v>0.1422319719837542</c:v>
                </c:pt>
                <c:pt idx="384">
                  <c:v>0.1422319719837542</c:v>
                </c:pt>
                <c:pt idx="385">
                  <c:v>0.1422319719837542</c:v>
                </c:pt>
                <c:pt idx="386">
                  <c:v>0.1422319719837542</c:v>
                </c:pt>
                <c:pt idx="387">
                  <c:v>0.1422319719837542</c:v>
                </c:pt>
                <c:pt idx="388">
                  <c:v>-0.537554843103209</c:v>
                </c:pt>
                <c:pt idx="389">
                  <c:v>-0.537554843103209</c:v>
                </c:pt>
                <c:pt idx="390">
                  <c:v>-0.537554843103209</c:v>
                </c:pt>
                <c:pt idx="391">
                  <c:v>-0.537554843103209</c:v>
                </c:pt>
                <c:pt idx="392">
                  <c:v>-0.537554843103209</c:v>
                </c:pt>
                <c:pt idx="393">
                  <c:v>-0.537554843103209</c:v>
                </c:pt>
                <c:pt idx="394">
                  <c:v>-0.537554843103209</c:v>
                </c:pt>
                <c:pt idx="395">
                  <c:v>-0.537554843103209</c:v>
                </c:pt>
                <c:pt idx="396">
                  <c:v>-0.537554843103209</c:v>
                </c:pt>
                <c:pt idx="397">
                  <c:v>-0.537554843103209</c:v>
                </c:pt>
                <c:pt idx="398">
                  <c:v>-0.537554843103209</c:v>
                </c:pt>
                <c:pt idx="399">
                  <c:v>-0.537554843103209</c:v>
                </c:pt>
                <c:pt idx="400">
                  <c:v>-0.537554843103209</c:v>
                </c:pt>
                <c:pt idx="401">
                  <c:v>0.17648086796942586</c:v>
                </c:pt>
                <c:pt idx="402">
                  <c:v>0.17648086796942586</c:v>
                </c:pt>
                <c:pt idx="403">
                  <c:v>0.17648086796942586</c:v>
                </c:pt>
                <c:pt idx="404">
                  <c:v>0.17648086796942586</c:v>
                </c:pt>
                <c:pt idx="405">
                  <c:v>0.17648086796942586</c:v>
                </c:pt>
                <c:pt idx="406">
                  <c:v>0.17648086796942586</c:v>
                </c:pt>
                <c:pt idx="407">
                  <c:v>0.17648086796942586</c:v>
                </c:pt>
                <c:pt idx="408">
                  <c:v>0.17648086796942586</c:v>
                </c:pt>
                <c:pt idx="409">
                  <c:v>0.17648086796942586</c:v>
                </c:pt>
                <c:pt idx="410">
                  <c:v>0.17648086796942586</c:v>
                </c:pt>
                <c:pt idx="411">
                  <c:v>0.17648086796942586</c:v>
                </c:pt>
                <c:pt idx="412">
                  <c:v>0.17648086796942586</c:v>
                </c:pt>
                <c:pt idx="413">
                  <c:v>0.17648086796942586</c:v>
                </c:pt>
                <c:pt idx="414">
                  <c:v>0.39151423021668497</c:v>
                </c:pt>
                <c:pt idx="415">
                  <c:v>0.39151423021668497</c:v>
                </c:pt>
                <c:pt idx="416">
                  <c:v>0.39151423021668497</c:v>
                </c:pt>
                <c:pt idx="417">
                  <c:v>0.39151423021668497</c:v>
                </c:pt>
                <c:pt idx="418">
                  <c:v>0.39151423021668497</c:v>
                </c:pt>
                <c:pt idx="419">
                  <c:v>0.39151423021668497</c:v>
                </c:pt>
                <c:pt idx="420">
                  <c:v>0.39151423021668497</c:v>
                </c:pt>
                <c:pt idx="421">
                  <c:v>0.39151423021668497</c:v>
                </c:pt>
                <c:pt idx="422">
                  <c:v>0.39151423021668497</c:v>
                </c:pt>
                <c:pt idx="423">
                  <c:v>0.39151423021668497</c:v>
                </c:pt>
                <c:pt idx="424">
                  <c:v>0.39151423021668497</c:v>
                </c:pt>
                <c:pt idx="425">
                  <c:v>0.39151423021668497</c:v>
                </c:pt>
                <c:pt idx="426">
                  <c:v>0.39151423021668497</c:v>
                </c:pt>
                <c:pt idx="427">
                  <c:v>0.54038619892519812</c:v>
                </c:pt>
                <c:pt idx="428">
                  <c:v>0.54038619892519812</c:v>
                </c:pt>
                <c:pt idx="429">
                  <c:v>0.54038619892519812</c:v>
                </c:pt>
                <c:pt idx="430">
                  <c:v>0.54038619892519812</c:v>
                </c:pt>
                <c:pt idx="431">
                  <c:v>0.54038619892519812</c:v>
                </c:pt>
                <c:pt idx="432">
                  <c:v>0.54038619892519812</c:v>
                </c:pt>
                <c:pt idx="433">
                  <c:v>0.54038619892519812</c:v>
                </c:pt>
                <c:pt idx="434">
                  <c:v>0.54038619892519812</c:v>
                </c:pt>
                <c:pt idx="435">
                  <c:v>0.54038619892519812</c:v>
                </c:pt>
                <c:pt idx="436">
                  <c:v>0.54038619892519812</c:v>
                </c:pt>
                <c:pt idx="437">
                  <c:v>0.54038619892519812</c:v>
                </c:pt>
                <c:pt idx="438">
                  <c:v>0.54038619892519812</c:v>
                </c:pt>
                <c:pt idx="439">
                  <c:v>0.54038619892519812</c:v>
                </c:pt>
                <c:pt idx="440">
                  <c:v>0.59993510229354552</c:v>
                </c:pt>
                <c:pt idx="441">
                  <c:v>0.59993510229354552</c:v>
                </c:pt>
                <c:pt idx="442">
                  <c:v>0.59993510229354552</c:v>
                </c:pt>
                <c:pt idx="443">
                  <c:v>0.59993510229354552</c:v>
                </c:pt>
                <c:pt idx="444">
                  <c:v>0.59993510229354552</c:v>
                </c:pt>
                <c:pt idx="445">
                  <c:v>0.59993510229354552</c:v>
                </c:pt>
                <c:pt idx="446">
                  <c:v>0.59993510229354552</c:v>
                </c:pt>
                <c:pt idx="447">
                  <c:v>0.59993510229354552</c:v>
                </c:pt>
                <c:pt idx="448">
                  <c:v>0.59993510229354552</c:v>
                </c:pt>
                <c:pt idx="449">
                  <c:v>0.59993510229354552</c:v>
                </c:pt>
                <c:pt idx="450">
                  <c:v>0.59993510229354552</c:v>
                </c:pt>
                <c:pt idx="451">
                  <c:v>0.59993510229354552</c:v>
                </c:pt>
                <c:pt idx="452">
                  <c:v>0.59993510229354552</c:v>
                </c:pt>
                <c:pt idx="453">
                  <c:v>-0.48873768287407293</c:v>
                </c:pt>
                <c:pt idx="454">
                  <c:v>-0.48873768287407293</c:v>
                </c:pt>
                <c:pt idx="455">
                  <c:v>-0.48873768287407293</c:v>
                </c:pt>
                <c:pt idx="456">
                  <c:v>-0.48873768287407293</c:v>
                </c:pt>
                <c:pt idx="457">
                  <c:v>-0.48873768287407293</c:v>
                </c:pt>
                <c:pt idx="458">
                  <c:v>-0.48873768287407293</c:v>
                </c:pt>
                <c:pt idx="459">
                  <c:v>-0.48873768287407293</c:v>
                </c:pt>
                <c:pt idx="460">
                  <c:v>-0.48873768287407293</c:v>
                </c:pt>
                <c:pt idx="461">
                  <c:v>-0.48873768287407293</c:v>
                </c:pt>
                <c:pt idx="462">
                  <c:v>-0.48873768287407293</c:v>
                </c:pt>
                <c:pt idx="463">
                  <c:v>-0.48873768287407293</c:v>
                </c:pt>
                <c:pt idx="464">
                  <c:v>-0.48873768287407293</c:v>
                </c:pt>
                <c:pt idx="465">
                  <c:v>-0.48873768287407293</c:v>
                </c:pt>
                <c:pt idx="466">
                  <c:v>-0.48873768287407293</c:v>
                </c:pt>
                <c:pt idx="467">
                  <c:v>-0.10271922906818234</c:v>
                </c:pt>
                <c:pt idx="468">
                  <c:v>-0.10271922906818234</c:v>
                </c:pt>
                <c:pt idx="469">
                  <c:v>-0.10271922906818234</c:v>
                </c:pt>
                <c:pt idx="470">
                  <c:v>-0.10271922906818234</c:v>
                </c:pt>
                <c:pt idx="471">
                  <c:v>-0.10271922906818234</c:v>
                </c:pt>
                <c:pt idx="472">
                  <c:v>-0.10271922906818234</c:v>
                </c:pt>
                <c:pt idx="473">
                  <c:v>-0.10271922906818234</c:v>
                </c:pt>
                <c:pt idx="474">
                  <c:v>-0.10271922906818234</c:v>
                </c:pt>
                <c:pt idx="475">
                  <c:v>-0.10271922906818234</c:v>
                </c:pt>
                <c:pt idx="476">
                  <c:v>-0.10271922906818234</c:v>
                </c:pt>
                <c:pt idx="477">
                  <c:v>-0.10271922906818234</c:v>
                </c:pt>
                <c:pt idx="478">
                  <c:v>-0.10271922906818234</c:v>
                </c:pt>
                <c:pt idx="479">
                  <c:v>-0.10271922906818234</c:v>
                </c:pt>
                <c:pt idx="480">
                  <c:v>0.44285131005141543</c:v>
                </c:pt>
                <c:pt idx="481">
                  <c:v>0.44285131005141543</c:v>
                </c:pt>
                <c:pt idx="482">
                  <c:v>0.44285131005141543</c:v>
                </c:pt>
                <c:pt idx="483">
                  <c:v>0.44285131005141543</c:v>
                </c:pt>
                <c:pt idx="484">
                  <c:v>0.44285131005141543</c:v>
                </c:pt>
                <c:pt idx="485">
                  <c:v>0.44285131005141543</c:v>
                </c:pt>
                <c:pt idx="486">
                  <c:v>0.44285131005141543</c:v>
                </c:pt>
                <c:pt idx="487">
                  <c:v>0.44285131005141543</c:v>
                </c:pt>
                <c:pt idx="488">
                  <c:v>0.44285131005141543</c:v>
                </c:pt>
                <c:pt idx="489">
                  <c:v>0.44285131005141543</c:v>
                </c:pt>
                <c:pt idx="490">
                  <c:v>0.44285131005141543</c:v>
                </c:pt>
                <c:pt idx="491">
                  <c:v>0.44285131005141543</c:v>
                </c:pt>
                <c:pt idx="492">
                  <c:v>0.44285131005141543</c:v>
                </c:pt>
                <c:pt idx="493">
                  <c:v>0.16141690879990511</c:v>
                </c:pt>
                <c:pt idx="494">
                  <c:v>0.16141690879990511</c:v>
                </c:pt>
                <c:pt idx="495">
                  <c:v>0.16141690879990511</c:v>
                </c:pt>
                <c:pt idx="496">
                  <c:v>0.16141690879990511</c:v>
                </c:pt>
                <c:pt idx="497">
                  <c:v>0.16141690879990511</c:v>
                </c:pt>
                <c:pt idx="498">
                  <c:v>0.16141690879990511</c:v>
                </c:pt>
                <c:pt idx="499">
                  <c:v>0.16141690879990511</c:v>
                </c:pt>
                <c:pt idx="500">
                  <c:v>0.16141690879990511</c:v>
                </c:pt>
                <c:pt idx="501">
                  <c:v>0.16141690879990511</c:v>
                </c:pt>
                <c:pt idx="502">
                  <c:v>0.16141690879990511</c:v>
                </c:pt>
                <c:pt idx="503">
                  <c:v>0.16141690879990511</c:v>
                </c:pt>
                <c:pt idx="504">
                  <c:v>0.16141690879990511</c:v>
                </c:pt>
                <c:pt idx="505">
                  <c:v>0.16141690879990511</c:v>
                </c:pt>
                <c:pt idx="506">
                  <c:v>0.60094657998541545</c:v>
                </c:pt>
                <c:pt idx="507">
                  <c:v>0.60094657998541545</c:v>
                </c:pt>
                <c:pt idx="508">
                  <c:v>0.60094657998541545</c:v>
                </c:pt>
                <c:pt idx="509">
                  <c:v>0.60094657998541545</c:v>
                </c:pt>
                <c:pt idx="510">
                  <c:v>0.60094657998541545</c:v>
                </c:pt>
                <c:pt idx="511">
                  <c:v>0.60094657998541545</c:v>
                </c:pt>
                <c:pt idx="512">
                  <c:v>0.60094657998541545</c:v>
                </c:pt>
                <c:pt idx="513">
                  <c:v>0.60094657998541545</c:v>
                </c:pt>
                <c:pt idx="514">
                  <c:v>0.60094657998541545</c:v>
                </c:pt>
                <c:pt idx="515">
                  <c:v>0.60094657998541545</c:v>
                </c:pt>
                <c:pt idx="516">
                  <c:v>0.60094657998541545</c:v>
                </c:pt>
                <c:pt idx="517">
                  <c:v>0.60094657998541545</c:v>
                </c:pt>
                <c:pt idx="518">
                  <c:v>0.60094657998541545</c:v>
                </c:pt>
                <c:pt idx="519">
                  <c:v>0.63225874980213281</c:v>
                </c:pt>
                <c:pt idx="520">
                  <c:v>0.63225874980213281</c:v>
                </c:pt>
                <c:pt idx="521">
                  <c:v>0.63225874980213281</c:v>
                </c:pt>
                <c:pt idx="522">
                  <c:v>0.63225874980213281</c:v>
                </c:pt>
                <c:pt idx="523">
                  <c:v>0.63225874980213281</c:v>
                </c:pt>
                <c:pt idx="524">
                  <c:v>0.63225874980213281</c:v>
                </c:pt>
                <c:pt idx="525">
                  <c:v>0.63225874980213281</c:v>
                </c:pt>
                <c:pt idx="526">
                  <c:v>0.63225874980213281</c:v>
                </c:pt>
                <c:pt idx="527">
                  <c:v>0.63225874980213281</c:v>
                </c:pt>
                <c:pt idx="528">
                  <c:v>0.63225874980213281</c:v>
                </c:pt>
                <c:pt idx="529">
                  <c:v>0.63225874980213281</c:v>
                </c:pt>
                <c:pt idx="530">
                  <c:v>0.63225874980213281</c:v>
                </c:pt>
                <c:pt idx="531">
                  <c:v>0.63225874980213281</c:v>
                </c:pt>
                <c:pt idx="532">
                  <c:v>0.59032525030698535</c:v>
                </c:pt>
                <c:pt idx="533">
                  <c:v>0.59032525030698535</c:v>
                </c:pt>
                <c:pt idx="534">
                  <c:v>0.59032525030698535</c:v>
                </c:pt>
                <c:pt idx="535">
                  <c:v>0.59032525030698535</c:v>
                </c:pt>
                <c:pt idx="536">
                  <c:v>0.59032525030698535</c:v>
                </c:pt>
                <c:pt idx="537">
                  <c:v>0.59032525030698535</c:v>
                </c:pt>
                <c:pt idx="538">
                  <c:v>0.59032525030698535</c:v>
                </c:pt>
                <c:pt idx="539">
                  <c:v>0.59032525030698535</c:v>
                </c:pt>
                <c:pt idx="540">
                  <c:v>0.59032525030698535</c:v>
                </c:pt>
                <c:pt idx="541">
                  <c:v>0.59032525030698535</c:v>
                </c:pt>
                <c:pt idx="542">
                  <c:v>0.59032525030698535</c:v>
                </c:pt>
                <c:pt idx="543">
                  <c:v>0.59032525030698535</c:v>
                </c:pt>
                <c:pt idx="544">
                  <c:v>0.59032525030698535</c:v>
                </c:pt>
                <c:pt idx="545">
                  <c:v>0.20541505673939836</c:v>
                </c:pt>
                <c:pt idx="546">
                  <c:v>0.20541505673939836</c:v>
                </c:pt>
                <c:pt idx="547">
                  <c:v>0.20541505673939836</c:v>
                </c:pt>
                <c:pt idx="548">
                  <c:v>0.20541505673939836</c:v>
                </c:pt>
                <c:pt idx="549">
                  <c:v>0.20541505673939836</c:v>
                </c:pt>
                <c:pt idx="550">
                  <c:v>0.20541505673939836</c:v>
                </c:pt>
                <c:pt idx="551">
                  <c:v>0.20541505673939836</c:v>
                </c:pt>
                <c:pt idx="552">
                  <c:v>0.20541505673939836</c:v>
                </c:pt>
                <c:pt idx="553">
                  <c:v>0.20541505673939836</c:v>
                </c:pt>
                <c:pt idx="554">
                  <c:v>0.20541505673939836</c:v>
                </c:pt>
                <c:pt idx="555">
                  <c:v>0.20541505673939836</c:v>
                </c:pt>
                <c:pt idx="556">
                  <c:v>0.20541505673939836</c:v>
                </c:pt>
                <c:pt idx="557">
                  <c:v>0.20541505673939836</c:v>
                </c:pt>
                <c:pt idx="558">
                  <c:v>0.30399318289224542</c:v>
                </c:pt>
                <c:pt idx="559">
                  <c:v>0.30399318289224542</c:v>
                </c:pt>
                <c:pt idx="560">
                  <c:v>0.30399318289224542</c:v>
                </c:pt>
                <c:pt idx="561">
                  <c:v>0.30399318289224542</c:v>
                </c:pt>
                <c:pt idx="562">
                  <c:v>0.30399318289224542</c:v>
                </c:pt>
                <c:pt idx="563">
                  <c:v>0.30399318289224542</c:v>
                </c:pt>
                <c:pt idx="564">
                  <c:v>0.30399318289224542</c:v>
                </c:pt>
                <c:pt idx="565">
                  <c:v>0.30399318289224542</c:v>
                </c:pt>
                <c:pt idx="566">
                  <c:v>0.30399318289224542</c:v>
                </c:pt>
                <c:pt idx="567">
                  <c:v>0.30399318289224542</c:v>
                </c:pt>
                <c:pt idx="568">
                  <c:v>0.30399318289224542</c:v>
                </c:pt>
                <c:pt idx="569">
                  <c:v>0.30399318289224542</c:v>
                </c:pt>
                <c:pt idx="570">
                  <c:v>0.30399318289224542</c:v>
                </c:pt>
                <c:pt idx="571">
                  <c:v>0.59531692593596719</c:v>
                </c:pt>
                <c:pt idx="572">
                  <c:v>0.59531692593596719</c:v>
                </c:pt>
                <c:pt idx="573">
                  <c:v>0.59531692593596719</c:v>
                </c:pt>
                <c:pt idx="574">
                  <c:v>0.59531692593596719</c:v>
                </c:pt>
                <c:pt idx="575">
                  <c:v>0.59531692593596719</c:v>
                </c:pt>
                <c:pt idx="576">
                  <c:v>0.59531692593596719</c:v>
                </c:pt>
                <c:pt idx="577">
                  <c:v>0.59531692593596719</c:v>
                </c:pt>
                <c:pt idx="578">
                  <c:v>0.59531692593596719</c:v>
                </c:pt>
                <c:pt idx="579">
                  <c:v>0.59531692593596719</c:v>
                </c:pt>
                <c:pt idx="580">
                  <c:v>0.59531692593596719</c:v>
                </c:pt>
                <c:pt idx="581">
                  <c:v>0.59531692593596719</c:v>
                </c:pt>
                <c:pt idx="582">
                  <c:v>0.59531692593596719</c:v>
                </c:pt>
                <c:pt idx="583">
                  <c:v>0.59531692593596719</c:v>
                </c:pt>
                <c:pt idx="584">
                  <c:v>0.68711013306817814</c:v>
                </c:pt>
                <c:pt idx="585">
                  <c:v>0.68711013306817814</c:v>
                </c:pt>
                <c:pt idx="586">
                  <c:v>0.68711013306817814</c:v>
                </c:pt>
                <c:pt idx="587">
                  <c:v>0.68711013306817814</c:v>
                </c:pt>
                <c:pt idx="588">
                  <c:v>0.68711013306817814</c:v>
                </c:pt>
                <c:pt idx="589">
                  <c:v>0.68711013306817814</c:v>
                </c:pt>
                <c:pt idx="590">
                  <c:v>0.68711013306817814</c:v>
                </c:pt>
                <c:pt idx="591">
                  <c:v>0.68711013306817814</c:v>
                </c:pt>
                <c:pt idx="592">
                  <c:v>0.68711013306817814</c:v>
                </c:pt>
                <c:pt idx="593">
                  <c:v>0.68711013306817814</c:v>
                </c:pt>
                <c:pt idx="594">
                  <c:v>0.68711013306817814</c:v>
                </c:pt>
                <c:pt idx="595">
                  <c:v>0.68711013306817814</c:v>
                </c:pt>
                <c:pt idx="596">
                  <c:v>0.68711013306817814</c:v>
                </c:pt>
                <c:pt idx="597">
                  <c:v>0.99194954902755783</c:v>
                </c:pt>
                <c:pt idx="598">
                  <c:v>0.99194954902755783</c:v>
                </c:pt>
                <c:pt idx="599">
                  <c:v>0.99194954902755783</c:v>
                </c:pt>
                <c:pt idx="600">
                  <c:v>0.99194954902755783</c:v>
                </c:pt>
                <c:pt idx="601">
                  <c:v>0.99194954902755783</c:v>
                </c:pt>
                <c:pt idx="602">
                  <c:v>0.99194954902755783</c:v>
                </c:pt>
                <c:pt idx="603">
                  <c:v>0.99194954902755783</c:v>
                </c:pt>
                <c:pt idx="604">
                  <c:v>0.99194954902755783</c:v>
                </c:pt>
                <c:pt idx="605">
                  <c:v>0.99194954902755783</c:v>
                </c:pt>
                <c:pt idx="606">
                  <c:v>0.99194954902755783</c:v>
                </c:pt>
                <c:pt idx="607">
                  <c:v>0.99194954902755783</c:v>
                </c:pt>
                <c:pt idx="608">
                  <c:v>0.99194954902755783</c:v>
                </c:pt>
                <c:pt idx="609">
                  <c:v>0.99194954902755783</c:v>
                </c:pt>
                <c:pt idx="610">
                  <c:v>0.65146482286091345</c:v>
                </c:pt>
                <c:pt idx="611">
                  <c:v>0.65146482286091345</c:v>
                </c:pt>
                <c:pt idx="612">
                  <c:v>0.65146482286091345</c:v>
                </c:pt>
                <c:pt idx="613">
                  <c:v>0.65146482286091345</c:v>
                </c:pt>
                <c:pt idx="614">
                  <c:v>0.65146482286091345</c:v>
                </c:pt>
                <c:pt idx="615">
                  <c:v>0.65146482286091345</c:v>
                </c:pt>
                <c:pt idx="616">
                  <c:v>0.65146482286091345</c:v>
                </c:pt>
                <c:pt idx="617">
                  <c:v>0.65146482286091345</c:v>
                </c:pt>
                <c:pt idx="618">
                  <c:v>0.65146482286091345</c:v>
                </c:pt>
                <c:pt idx="619">
                  <c:v>0.65146482286091345</c:v>
                </c:pt>
                <c:pt idx="620">
                  <c:v>0.65146482286091345</c:v>
                </c:pt>
                <c:pt idx="621">
                  <c:v>0.65146482286091345</c:v>
                </c:pt>
                <c:pt idx="622">
                  <c:v>0.65146482286091345</c:v>
                </c:pt>
                <c:pt idx="623">
                  <c:v>0.38495128337075096</c:v>
                </c:pt>
                <c:pt idx="624">
                  <c:v>0.38495128337075096</c:v>
                </c:pt>
                <c:pt idx="625">
                  <c:v>0.38495128337075096</c:v>
                </c:pt>
                <c:pt idx="626">
                  <c:v>0.38495128337075096</c:v>
                </c:pt>
                <c:pt idx="627">
                  <c:v>0.38495128337075096</c:v>
                </c:pt>
                <c:pt idx="628">
                  <c:v>0.38495128337075096</c:v>
                </c:pt>
                <c:pt idx="629">
                  <c:v>0.38495128337075096</c:v>
                </c:pt>
                <c:pt idx="630">
                  <c:v>0.38495128337075096</c:v>
                </c:pt>
                <c:pt idx="631">
                  <c:v>0.38495128337075096</c:v>
                </c:pt>
                <c:pt idx="632">
                  <c:v>0.38495128337075096</c:v>
                </c:pt>
                <c:pt idx="633">
                  <c:v>0.38495128337075096</c:v>
                </c:pt>
                <c:pt idx="634">
                  <c:v>0.38495128337075096</c:v>
                </c:pt>
                <c:pt idx="635">
                  <c:v>0.38495128337075096</c:v>
                </c:pt>
                <c:pt idx="636">
                  <c:v>0.21264785203944367</c:v>
                </c:pt>
                <c:pt idx="637">
                  <c:v>0.21264785203944367</c:v>
                </c:pt>
                <c:pt idx="638">
                  <c:v>0.21264785203944367</c:v>
                </c:pt>
                <c:pt idx="639">
                  <c:v>0.21264785203944367</c:v>
                </c:pt>
                <c:pt idx="640">
                  <c:v>0.21264785203944367</c:v>
                </c:pt>
                <c:pt idx="641">
                  <c:v>0.21264785203944367</c:v>
                </c:pt>
                <c:pt idx="642">
                  <c:v>0.21264785203944367</c:v>
                </c:pt>
                <c:pt idx="643">
                  <c:v>0.21264785203944367</c:v>
                </c:pt>
                <c:pt idx="644">
                  <c:v>0.21264785203944367</c:v>
                </c:pt>
                <c:pt idx="645">
                  <c:v>0.21264785203944367</c:v>
                </c:pt>
                <c:pt idx="646">
                  <c:v>0.21264785203944367</c:v>
                </c:pt>
                <c:pt idx="647">
                  <c:v>0.21264785203944367</c:v>
                </c:pt>
                <c:pt idx="648">
                  <c:v>0.21264785203944367</c:v>
                </c:pt>
                <c:pt idx="649">
                  <c:v>6.8924397728891917E-2</c:v>
                </c:pt>
                <c:pt idx="650">
                  <c:v>6.8924397728891917E-2</c:v>
                </c:pt>
                <c:pt idx="651">
                  <c:v>6.8924397728891917E-2</c:v>
                </c:pt>
                <c:pt idx="652">
                  <c:v>6.8924397728891917E-2</c:v>
                </c:pt>
                <c:pt idx="653">
                  <c:v>6.8924397728891917E-2</c:v>
                </c:pt>
                <c:pt idx="654">
                  <c:v>6.8924397728891917E-2</c:v>
                </c:pt>
                <c:pt idx="655">
                  <c:v>6.8924397728891917E-2</c:v>
                </c:pt>
                <c:pt idx="656">
                  <c:v>6.8924397728891917E-2</c:v>
                </c:pt>
                <c:pt idx="657">
                  <c:v>6.8924397728891917E-2</c:v>
                </c:pt>
                <c:pt idx="658">
                  <c:v>6.8924397728891917E-2</c:v>
                </c:pt>
                <c:pt idx="659">
                  <c:v>6.8924397728891917E-2</c:v>
                </c:pt>
                <c:pt idx="660">
                  <c:v>6.8924397728891917E-2</c:v>
                </c:pt>
                <c:pt idx="661">
                  <c:v>6.8924397728891917E-2</c:v>
                </c:pt>
                <c:pt idx="662">
                  <c:v>-0.59625996538230752</c:v>
                </c:pt>
                <c:pt idx="663">
                  <c:v>-0.59625996538230752</c:v>
                </c:pt>
                <c:pt idx="664">
                  <c:v>-0.59625996538230752</c:v>
                </c:pt>
                <c:pt idx="665">
                  <c:v>-0.59625996538230752</c:v>
                </c:pt>
                <c:pt idx="666">
                  <c:v>-0.59625996538230752</c:v>
                </c:pt>
                <c:pt idx="667">
                  <c:v>-0.59625996538230752</c:v>
                </c:pt>
                <c:pt idx="668">
                  <c:v>-0.59625996538230752</c:v>
                </c:pt>
                <c:pt idx="669">
                  <c:v>-0.59625996538230752</c:v>
                </c:pt>
                <c:pt idx="670">
                  <c:v>-0.59625996538230752</c:v>
                </c:pt>
                <c:pt idx="671">
                  <c:v>-0.59625996538230752</c:v>
                </c:pt>
                <c:pt idx="672">
                  <c:v>-0.59625996538230752</c:v>
                </c:pt>
                <c:pt idx="673">
                  <c:v>-0.59625996538230752</c:v>
                </c:pt>
                <c:pt idx="674">
                  <c:v>-0.59625996538230752</c:v>
                </c:pt>
                <c:pt idx="675">
                  <c:v>-0.46620035857876363</c:v>
                </c:pt>
                <c:pt idx="676">
                  <c:v>-0.46620035857876363</c:v>
                </c:pt>
                <c:pt idx="677">
                  <c:v>-0.46620035857876363</c:v>
                </c:pt>
                <c:pt idx="678">
                  <c:v>-0.46620035857876363</c:v>
                </c:pt>
                <c:pt idx="679">
                  <c:v>-0.46620035857876363</c:v>
                </c:pt>
                <c:pt idx="680">
                  <c:v>-0.46620035857876363</c:v>
                </c:pt>
                <c:pt idx="681">
                  <c:v>-0.46620035857876363</c:v>
                </c:pt>
                <c:pt idx="682">
                  <c:v>-0.46620035857876363</c:v>
                </c:pt>
                <c:pt idx="683">
                  <c:v>-0.46620035857876363</c:v>
                </c:pt>
                <c:pt idx="684">
                  <c:v>-0.46620035857876363</c:v>
                </c:pt>
                <c:pt idx="685">
                  <c:v>-0.46620035857876363</c:v>
                </c:pt>
                <c:pt idx="686">
                  <c:v>-0.46620035857876363</c:v>
                </c:pt>
                <c:pt idx="687">
                  <c:v>-0.46620035857876363</c:v>
                </c:pt>
                <c:pt idx="688">
                  <c:v>-0.19415048463376816</c:v>
                </c:pt>
                <c:pt idx="689">
                  <c:v>-0.19415048463376816</c:v>
                </c:pt>
                <c:pt idx="690">
                  <c:v>-0.19415048463376816</c:v>
                </c:pt>
                <c:pt idx="691">
                  <c:v>-0.19415048463376816</c:v>
                </c:pt>
                <c:pt idx="692">
                  <c:v>-0.19415048463376816</c:v>
                </c:pt>
                <c:pt idx="693">
                  <c:v>-0.19415048463376816</c:v>
                </c:pt>
                <c:pt idx="694">
                  <c:v>-0.19415048463376816</c:v>
                </c:pt>
                <c:pt idx="695">
                  <c:v>-0.19415048463376816</c:v>
                </c:pt>
                <c:pt idx="696">
                  <c:v>-0.19415048463376816</c:v>
                </c:pt>
                <c:pt idx="697">
                  <c:v>-0.19415048463376816</c:v>
                </c:pt>
                <c:pt idx="698">
                  <c:v>-0.19415048463376816</c:v>
                </c:pt>
                <c:pt idx="699">
                  <c:v>-0.19415048463376816</c:v>
                </c:pt>
                <c:pt idx="700">
                  <c:v>-0.19415048463376816</c:v>
                </c:pt>
                <c:pt idx="701">
                  <c:v>1.3599380139649774E-2</c:v>
                </c:pt>
                <c:pt idx="702">
                  <c:v>1.3599380139649774E-2</c:v>
                </c:pt>
                <c:pt idx="703">
                  <c:v>1.3599380139649774E-2</c:v>
                </c:pt>
                <c:pt idx="704">
                  <c:v>1.3599380139649774E-2</c:v>
                </c:pt>
                <c:pt idx="705">
                  <c:v>1.3599380139649774E-2</c:v>
                </c:pt>
                <c:pt idx="706">
                  <c:v>1.3599380139649774E-2</c:v>
                </c:pt>
                <c:pt idx="707">
                  <c:v>1.3599380139649774E-2</c:v>
                </c:pt>
                <c:pt idx="708">
                  <c:v>1.3599380139649774E-2</c:v>
                </c:pt>
                <c:pt idx="709">
                  <c:v>1.3599380139649774E-2</c:v>
                </c:pt>
                <c:pt idx="710">
                  <c:v>1.3599380139649774E-2</c:v>
                </c:pt>
                <c:pt idx="711">
                  <c:v>1.3599380139649774E-2</c:v>
                </c:pt>
                <c:pt idx="712">
                  <c:v>1.3599380139649774E-2</c:v>
                </c:pt>
                <c:pt idx="713">
                  <c:v>1.3599380139649774E-2</c:v>
                </c:pt>
                <c:pt idx="714">
                  <c:v>0.24382743734606943</c:v>
                </c:pt>
                <c:pt idx="715">
                  <c:v>0.24382743734606943</c:v>
                </c:pt>
                <c:pt idx="716">
                  <c:v>0.24382743734606943</c:v>
                </c:pt>
                <c:pt idx="717">
                  <c:v>0.24382743734606943</c:v>
                </c:pt>
                <c:pt idx="718">
                  <c:v>0.24382743734606943</c:v>
                </c:pt>
                <c:pt idx="719">
                  <c:v>0.24382743734606943</c:v>
                </c:pt>
                <c:pt idx="720">
                  <c:v>0.24382743734606943</c:v>
                </c:pt>
                <c:pt idx="721">
                  <c:v>0.24382743734606943</c:v>
                </c:pt>
                <c:pt idx="722">
                  <c:v>0.24382743734606943</c:v>
                </c:pt>
                <c:pt idx="723">
                  <c:v>0.24382743734606943</c:v>
                </c:pt>
                <c:pt idx="724">
                  <c:v>0.24382743734606943</c:v>
                </c:pt>
                <c:pt idx="725">
                  <c:v>0.24382743734606943</c:v>
                </c:pt>
                <c:pt idx="726">
                  <c:v>0.24382743734606943</c:v>
                </c:pt>
                <c:pt idx="727">
                  <c:v>0.24382743734606943</c:v>
                </c:pt>
                <c:pt idx="728">
                  <c:v>-3.4573890577911937E-3</c:v>
                </c:pt>
                <c:pt idx="729">
                  <c:v>-3.4573890577911937E-3</c:v>
                </c:pt>
                <c:pt idx="730">
                  <c:v>-3.4573890577911937E-3</c:v>
                </c:pt>
                <c:pt idx="731">
                  <c:v>-3.4573890577911937E-3</c:v>
                </c:pt>
                <c:pt idx="732">
                  <c:v>-3.4573890577911937E-3</c:v>
                </c:pt>
                <c:pt idx="733">
                  <c:v>-3.4573890577911937E-3</c:v>
                </c:pt>
                <c:pt idx="734">
                  <c:v>-3.4573890577911937E-3</c:v>
                </c:pt>
                <c:pt idx="735">
                  <c:v>-3.4573890577911937E-3</c:v>
                </c:pt>
                <c:pt idx="736">
                  <c:v>-3.4573890577911937E-3</c:v>
                </c:pt>
                <c:pt idx="737">
                  <c:v>-3.4573890577911937E-3</c:v>
                </c:pt>
                <c:pt idx="738">
                  <c:v>-3.4573890577911937E-3</c:v>
                </c:pt>
                <c:pt idx="739">
                  <c:v>-3.4573890577911937E-3</c:v>
                </c:pt>
                <c:pt idx="740">
                  <c:v>0.34547106629058388</c:v>
                </c:pt>
                <c:pt idx="741">
                  <c:v>0.34547106629058388</c:v>
                </c:pt>
                <c:pt idx="742">
                  <c:v>0.34547106629058388</c:v>
                </c:pt>
                <c:pt idx="743">
                  <c:v>0.34547106629058388</c:v>
                </c:pt>
                <c:pt idx="744">
                  <c:v>0.34547106629058388</c:v>
                </c:pt>
                <c:pt idx="745">
                  <c:v>0.34547106629058388</c:v>
                </c:pt>
                <c:pt idx="746">
                  <c:v>0.34547106629058388</c:v>
                </c:pt>
                <c:pt idx="747">
                  <c:v>0.34547106629058388</c:v>
                </c:pt>
                <c:pt idx="748">
                  <c:v>0.34547106629058388</c:v>
                </c:pt>
                <c:pt idx="749">
                  <c:v>0.34547106629058388</c:v>
                </c:pt>
                <c:pt idx="750">
                  <c:v>0.34547106629058388</c:v>
                </c:pt>
                <c:pt idx="751">
                  <c:v>0.34547106629058388</c:v>
                </c:pt>
                <c:pt idx="752">
                  <c:v>0.34547106629058388</c:v>
                </c:pt>
                <c:pt idx="753">
                  <c:v>0.56326433854451119</c:v>
                </c:pt>
                <c:pt idx="754">
                  <c:v>0.56326433854451119</c:v>
                </c:pt>
                <c:pt idx="755">
                  <c:v>0.56326433854451119</c:v>
                </c:pt>
                <c:pt idx="756">
                  <c:v>0.56326433854451119</c:v>
                </c:pt>
                <c:pt idx="757">
                  <c:v>0.56326433854451119</c:v>
                </c:pt>
                <c:pt idx="758">
                  <c:v>0.56326433854451119</c:v>
                </c:pt>
                <c:pt idx="759">
                  <c:v>0.56326433854451119</c:v>
                </c:pt>
                <c:pt idx="760">
                  <c:v>0.56326433854451119</c:v>
                </c:pt>
                <c:pt idx="761">
                  <c:v>0.56326433854451119</c:v>
                </c:pt>
                <c:pt idx="762">
                  <c:v>0.56326433854451119</c:v>
                </c:pt>
                <c:pt idx="763">
                  <c:v>0.56326433854451119</c:v>
                </c:pt>
                <c:pt idx="764">
                  <c:v>0.56326433854451119</c:v>
                </c:pt>
                <c:pt idx="765">
                  <c:v>0.56326433854451119</c:v>
                </c:pt>
                <c:pt idx="766">
                  <c:v>0.56326433854451119</c:v>
                </c:pt>
                <c:pt idx="767">
                  <c:v>0.78614387531783403</c:v>
                </c:pt>
                <c:pt idx="768">
                  <c:v>0.78614387531783403</c:v>
                </c:pt>
                <c:pt idx="769">
                  <c:v>0.78614387531783403</c:v>
                </c:pt>
                <c:pt idx="770">
                  <c:v>0.78614387531783403</c:v>
                </c:pt>
                <c:pt idx="771">
                  <c:v>0.78614387531783403</c:v>
                </c:pt>
                <c:pt idx="772">
                  <c:v>0.78614387531783403</c:v>
                </c:pt>
                <c:pt idx="773">
                  <c:v>0.78614387531783403</c:v>
                </c:pt>
                <c:pt idx="774">
                  <c:v>0.78614387531783403</c:v>
                </c:pt>
                <c:pt idx="775">
                  <c:v>0.78614387531783403</c:v>
                </c:pt>
                <c:pt idx="776">
                  <c:v>0.78614387531783403</c:v>
                </c:pt>
                <c:pt idx="777">
                  <c:v>0.78614387531783403</c:v>
                </c:pt>
                <c:pt idx="778">
                  <c:v>0.78614387531783403</c:v>
                </c:pt>
                <c:pt idx="779">
                  <c:v>0.78614387531783403</c:v>
                </c:pt>
                <c:pt idx="780">
                  <c:v>0.95553460024995696</c:v>
                </c:pt>
                <c:pt idx="781">
                  <c:v>0.95553460024995696</c:v>
                </c:pt>
                <c:pt idx="782">
                  <c:v>0.95553460024995696</c:v>
                </c:pt>
                <c:pt idx="783">
                  <c:v>0.95553460024995696</c:v>
                </c:pt>
                <c:pt idx="784">
                  <c:v>0.95553460024995696</c:v>
                </c:pt>
                <c:pt idx="785">
                  <c:v>0.95553460024995696</c:v>
                </c:pt>
                <c:pt idx="786">
                  <c:v>0.95553460024995696</c:v>
                </c:pt>
                <c:pt idx="787">
                  <c:v>0.95553460024995696</c:v>
                </c:pt>
                <c:pt idx="788">
                  <c:v>0.95553460024995696</c:v>
                </c:pt>
                <c:pt idx="789">
                  <c:v>0.95553460024995696</c:v>
                </c:pt>
                <c:pt idx="790">
                  <c:v>0.95553460024995696</c:v>
                </c:pt>
                <c:pt idx="791">
                  <c:v>0.95553460024995696</c:v>
                </c:pt>
                <c:pt idx="792">
                  <c:v>0.95553460024995696</c:v>
                </c:pt>
                <c:pt idx="793">
                  <c:v>0.81867575364031686</c:v>
                </c:pt>
                <c:pt idx="794">
                  <c:v>0.81867575364031686</c:v>
                </c:pt>
                <c:pt idx="795">
                  <c:v>0.81867575364031686</c:v>
                </c:pt>
                <c:pt idx="796">
                  <c:v>0.81867575364031686</c:v>
                </c:pt>
                <c:pt idx="797">
                  <c:v>0.81867575364031686</c:v>
                </c:pt>
                <c:pt idx="798">
                  <c:v>0.81867575364031686</c:v>
                </c:pt>
                <c:pt idx="799">
                  <c:v>0.81867575364031686</c:v>
                </c:pt>
                <c:pt idx="800">
                  <c:v>0.81867575364031686</c:v>
                </c:pt>
                <c:pt idx="801">
                  <c:v>0.81867575364031686</c:v>
                </c:pt>
                <c:pt idx="802">
                  <c:v>0.81867575364031686</c:v>
                </c:pt>
                <c:pt idx="803">
                  <c:v>0.81867575364031686</c:v>
                </c:pt>
                <c:pt idx="804">
                  <c:v>0.81867575364031686</c:v>
                </c:pt>
                <c:pt idx="805">
                  <c:v>0.81867575364031686</c:v>
                </c:pt>
                <c:pt idx="806">
                  <c:v>0.38640093835771988</c:v>
                </c:pt>
                <c:pt idx="807">
                  <c:v>0.38640093835771988</c:v>
                </c:pt>
                <c:pt idx="808">
                  <c:v>0.38640093835771988</c:v>
                </c:pt>
                <c:pt idx="809">
                  <c:v>0.38640093835771988</c:v>
                </c:pt>
                <c:pt idx="810">
                  <c:v>0.38640093835771988</c:v>
                </c:pt>
                <c:pt idx="811">
                  <c:v>0.38640093835771988</c:v>
                </c:pt>
                <c:pt idx="812">
                  <c:v>0.38640093835771988</c:v>
                </c:pt>
                <c:pt idx="813">
                  <c:v>0.38640093835771988</c:v>
                </c:pt>
                <c:pt idx="814">
                  <c:v>0.38640093835771988</c:v>
                </c:pt>
                <c:pt idx="815">
                  <c:v>0.38640093835771988</c:v>
                </c:pt>
                <c:pt idx="816">
                  <c:v>0.38640093835771988</c:v>
                </c:pt>
                <c:pt idx="817">
                  <c:v>0.38640093835771988</c:v>
                </c:pt>
                <c:pt idx="818">
                  <c:v>0.38640093835771988</c:v>
                </c:pt>
                <c:pt idx="819">
                  <c:v>0.59727358906466121</c:v>
                </c:pt>
                <c:pt idx="820">
                  <c:v>0.59727358906466121</c:v>
                </c:pt>
                <c:pt idx="821">
                  <c:v>0.59727358906466121</c:v>
                </c:pt>
                <c:pt idx="822">
                  <c:v>0.59727358906466121</c:v>
                </c:pt>
                <c:pt idx="823">
                  <c:v>0.59727358906466121</c:v>
                </c:pt>
                <c:pt idx="824">
                  <c:v>0.59727358906466121</c:v>
                </c:pt>
                <c:pt idx="825">
                  <c:v>0.59727358906466121</c:v>
                </c:pt>
                <c:pt idx="826">
                  <c:v>0.59727358906466121</c:v>
                </c:pt>
                <c:pt idx="827">
                  <c:v>0.59727358906466121</c:v>
                </c:pt>
                <c:pt idx="828">
                  <c:v>0.59727358906466121</c:v>
                </c:pt>
                <c:pt idx="829">
                  <c:v>0.59727358906466121</c:v>
                </c:pt>
                <c:pt idx="830">
                  <c:v>0.59727358906466121</c:v>
                </c:pt>
                <c:pt idx="831">
                  <c:v>0.59727358906466121</c:v>
                </c:pt>
                <c:pt idx="832">
                  <c:v>-0.23706092915291765</c:v>
                </c:pt>
                <c:pt idx="833">
                  <c:v>-0.23706092915291765</c:v>
                </c:pt>
                <c:pt idx="834">
                  <c:v>-0.23706092915291765</c:v>
                </c:pt>
                <c:pt idx="835">
                  <c:v>-0.23706092915291765</c:v>
                </c:pt>
                <c:pt idx="836">
                  <c:v>-0.23706092915291765</c:v>
                </c:pt>
                <c:pt idx="837">
                  <c:v>-0.23706092915291765</c:v>
                </c:pt>
                <c:pt idx="838">
                  <c:v>-0.23706092915291765</c:v>
                </c:pt>
                <c:pt idx="839">
                  <c:v>-0.23706092915291765</c:v>
                </c:pt>
                <c:pt idx="840">
                  <c:v>-0.23706092915291765</c:v>
                </c:pt>
                <c:pt idx="841">
                  <c:v>-0.23706092915291765</c:v>
                </c:pt>
                <c:pt idx="842">
                  <c:v>-0.23706092915291765</c:v>
                </c:pt>
                <c:pt idx="843">
                  <c:v>-0.23706092915291765</c:v>
                </c:pt>
                <c:pt idx="844">
                  <c:v>-0.23706092915291765</c:v>
                </c:pt>
                <c:pt idx="845">
                  <c:v>0.3564188905075415</c:v>
                </c:pt>
                <c:pt idx="846">
                  <c:v>0.3564188905075415</c:v>
                </c:pt>
                <c:pt idx="847">
                  <c:v>0.3564188905075415</c:v>
                </c:pt>
                <c:pt idx="848">
                  <c:v>0.3564188905075415</c:v>
                </c:pt>
                <c:pt idx="849">
                  <c:v>0.3564188905075415</c:v>
                </c:pt>
                <c:pt idx="850">
                  <c:v>0.3564188905075415</c:v>
                </c:pt>
                <c:pt idx="851">
                  <c:v>0.3564188905075415</c:v>
                </c:pt>
                <c:pt idx="852">
                  <c:v>0.3564188905075415</c:v>
                </c:pt>
                <c:pt idx="853">
                  <c:v>0.3564188905075415</c:v>
                </c:pt>
                <c:pt idx="854">
                  <c:v>0.3564188905075415</c:v>
                </c:pt>
                <c:pt idx="855">
                  <c:v>0.3564188905075415</c:v>
                </c:pt>
                <c:pt idx="856">
                  <c:v>0.3564188905075415</c:v>
                </c:pt>
                <c:pt idx="857">
                  <c:v>0.3564188905075415</c:v>
                </c:pt>
                <c:pt idx="858">
                  <c:v>0.55044923886344577</c:v>
                </c:pt>
                <c:pt idx="859">
                  <c:v>0.55044923886344577</c:v>
                </c:pt>
                <c:pt idx="860">
                  <c:v>0.55044923886344577</c:v>
                </c:pt>
                <c:pt idx="861">
                  <c:v>0.55044923886344577</c:v>
                </c:pt>
                <c:pt idx="862">
                  <c:v>0.55044923886344577</c:v>
                </c:pt>
                <c:pt idx="863">
                  <c:v>0.55044923886344577</c:v>
                </c:pt>
                <c:pt idx="864">
                  <c:v>0.55044923886344577</c:v>
                </c:pt>
                <c:pt idx="865">
                  <c:v>0.55044923886344577</c:v>
                </c:pt>
                <c:pt idx="866">
                  <c:v>0.55044923886344577</c:v>
                </c:pt>
                <c:pt idx="867">
                  <c:v>0.55044923886344577</c:v>
                </c:pt>
                <c:pt idx="868">
                  <c:v>0.55044923886344577</c:v>
                </c:pt>
                <c:pt idx="869">
                  <c:v>0.55044923886344577</c:v>
                </c:pt>
                <c:pt idx="870">
                  <c:v>0.55044923886344577</c:v>
                </c:pt>
                <c:pt idx="871">
                  <c:v>0.58212647826304642</c:v>
                </c:pt>
                <c:pt idx="872">
                  <c:v>0.58212647826304642</c:v>
                </c:pt>
                <c:pt idx="873">
                  <c:v>0.58212647826304642</c:v>
                </c:pt>
                <c:pt idx="874">
                  <c:v>0.58212647826304642</c:v>
                </c:pt>
                <c:pt idx="875">
                  <c:v>0.58212647826304642</c:v>
                </c:pt>
                <c:pt idx="876">
                  <c:v>0.58212647826304642</c:v>
                </c:pt>
                <c:pt idx="877">
                  <c:v>0.58212647826304642</c:v>
                </c:pt>
                <c:pt idx="878">
                  <c:v>0.58212647826304642</c:v>
                </c:pt>
                <c:pt idx="879">
                  <c:v>0.58212647826304642</c:v>
                </c:pt>
                <c:pt idx="880">
                  <c:v>0.58212647826304642</c:v>
                </c:pt>
                <c:pt idx="881">
                  <c:v>0.58212647826304642</c:v>
                </c:pt>
                <c:pt idx="882">
                  <c:v>0.58212647826304642</c:v>
                </c:pt>
                <c:pt idx="883">
                  <c:v>0.58212647826304642</c:v>
                </c:pt>
                <c:pt idx="884">
                  <c:v>1.0374954037962441</c:v>
                </c:pt>
                <c:pt idx="885">
                  <c:v>1.0374954037962441</c:v>
                </c:pt>
                <c:pt idx="886">
                  <c:v>1.0374954037962441</c:v>
                </c:pt>
                <c:pt idx="887">
                  <c:v>1.0374954037962441</c:v>
                </c:pt>
                <c:pt idx="888">
                  <c:v>1.0374954037962441</c:v>
                </c:pt>
                <c:pt idx="889">
                  <c:v>1.0374954037962441</c:v>
                </c:pt>
                <c:pt idx="890">
                  <c:v>1.0374954037962441</c:v>
                </c:pt>
                <c:pt idx="891">
                  <c:v>1.0374954037962441</c:v>
                </c:pt>
                <c:pt idx="892">
                  <c:v>1.0374954037962441</c:v>
                </c:pt>
                <c:pt idx="893">
                  <c:v>1.0374954037962441</c:v>
                </c:pt>
                <c:pt idx="894">
                  <c:v>1.0374954037962441</c:v>
                </c:pt>
                <c:pt idx="895">
                  <c:v>-1.3758591704024528</c:v>
                </c:pt>
                <c:pt idx="896">
                  <c:v>-1.3758591704024528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B76-47D2-8B97-1B3001DC8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245136"/>
        <c:axId val="1174258032"/>
      </c:scatterChart>
      <c:valAx>
        <c:axId val="503105792"/>
        <c:scaling>
          <c:orientation val="minMax"/>
          <c:max val="44200"/>
          <c:min val="37500"/>
        </c:scaling>
        <c:delete val="0"/>
        <c:axPos val="b"/>
        <c:numFmt formatCode="d/mm/yyyy;@" sourceLinked="1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15776"/>
        <c:crosses val="autoZero"/>
        <c:crossBetween val="midCat"/>
        <c:majorUnit val="500"/>
      </c:valAx>
      <c:valAx>
        <c:axId val="503115776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05792"/>
        <c:crosses val="autoZero"/>
        <c:crossBetween val="midCat"/>
      </c:valAx>
      <c:valAx>
        <c:axId val="1174258032"/>
        <c:scaling>
          <c:orientation val="maxMin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es-CO"/>
          </a:p>
        </c:txPr>
        <c:crossAx val="1174245136"/>
        <c:crosses val="max"/>
        <c:crossBetween val="midCat"/>
        <c:majorUnit val="0.5"/>
      </c:valAx>
      <c:valAx>
        <c:axId val="1174245136"/>
        <c:scaling>
          <c:orientation val="minMax"/>
        </c:scaling>
        <c:delete val="1"/>
        <c:axPos val="t"/>
        <c:numFmt formatCode="d/mm/yyyy;@" sourceLinked="1"/>
        <c:majorTickMark val="out"/>
        <c:minorTickMark val="none"/>
        <c:tickLblPos val="nextTo"/>
        <c:crossAx val="1174258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s-CO" sz="1800" b="1" i="0" baseline="0">
                <a:effectLst/>
              </a:rPr>
              <a:t>Probabilidad de default 5Y vs Z-score Total</a:t>
            </a:r>
            <a:endParaRPr lang="es-CO">
              <a:effectLst/>
            </a:endParaRPr>
          </a:p>
        </c:rich>
      </c:tx>
      <c:layout>
        <c:manualLayout>
          <c:xMode val="edge"/>
          <c:yMode val="edge"/>
          <c:x val="0.25938495142561746"/>
          <c:y val="4.279532200645164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5446122261101219"/>
          <c:y val="0.10427338582677165"/>
          <c:w val="0.83072764378327513"/>
          <c:h val="0.57203671901769981"/>
        </c:manualLayout>
      </c:layout>
      <c:scatterChart>
        <c:scatterStyle val="smoothMarker"/>
        <c:varyColors val="0"/>
        <c:ser>
          <c:idx val="0"/>
          <c:order val="0"/>
          <c:tx>
            <c:v>Prob Default</c:v>
          </c:tx>
          <c:spPr>
            <a:ln w="44450"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HISTORIA!$A$2:$A$897</c:f>
              <c:numCache>
                <c:formatCode>d/mm/yyyy;@</c:formatCode>
                <c:ptCount val="896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</c:numCache>
            </c:numRef>
          </c:xVal>
          <c:yVal>
            <c:numRef>
              <c:f>HISTORIA!$K$2:$K$897</c:f>
              <c:numCache>
                <c:formatCode>General</c:formatCode>
                <c:ptCount val="896"/>
                <c:pt idx="0">
                  <c:v>0.41740822649320153</c:v>
                </c:pt>
                <c:pt idx="1">
                  <c:v>0.42256938435952018</c:v>
                </c:pt>
                <c:pt idx="2">
                  <c:v>0.43434483195233053</c:v>
                </c:pt>
                <c:pt idx="3">
                  <c:v>0.43703816200004497</c:v>
                </c:pt>
                <c:pt idx="4">
                  <c:v>0.42703702304716684</c:v>
                </c:pt>
                <c:pt idx="5">
                  <c:v>0.4146094809613049</c:v>
                </c:pt>
                <c:pt idx="6">
                  <c:v>0.40721083180682349</c:v>
                </c:pt>
                <c:pt idx="7">
                  <c:v>0.40591511314818307</c:v>
                </c:pt>
                <c:pt idx="8">
                  <c:v>0.40206345929878395</c:v>
                </c:pt>
                <c:pt idx="9">
                  <c:v>0.39188924169643158</c:v>
                </c:pt>
                <c:pt idx="10">
                  <c:v>0.35822139130466168</c:v>
                </c:pt>
                <c:pt idx="11">
                  <c:v>0.35613807626633653</c:v>
                </c:pt>
                <c:pt idx="12">
                  <c:v>0.34710115392050322</c:v>
                </c:pt>
                <c:pt idx="13">
                  <c:v>0.33495765848517378</c:v>
                </c:pt>
                <c:pt idx="14">
                  <c:v>0.2889733477482932</c:v>
                </c:pt>
                <c:pt idx="15">
                  <c:v>0.28290329588551411</c:v>
                </c:pt>
                <c:pt idx="16">
                  <c:v>0.31373995935755283</c:v>
                </c:pt>
                <c:pt idx="17">
                  <c:v>0.31631886136896026</c:v>
                </c:pt>
                <c:pt idx="18">
                  <c:v>0.30921424998389702</c:v>
                </c:pt>
                <c:pt idx="19">
                  <c:v>0.29623128867979431</c:v>
                </c:pt>
                <c:pt idx="20">
                  <c:v>0.29239085383454377</c:v>
                </c:pt>
                <c:pt idx="21">
                  <c:v>0.3033967443790454</c:v>
                </c:pt>
                <c:pt idx="22">
                  <c:v>0.29336517278412777</c:v>
                </c:pt>
                <c:pt idx="23">
                  <c:v>0.29581464518870026</c:v>
                </c:pt>
                <c:pt idx="24">
                  <c:v>0.29676981932655677</c:v>
                </c:pt>
                <c:pt idx="25">
                  <c:v>0.29196824950520239</c:v>
                </c:pt>
                <c:pt idx="26">
                  <c:v>0.2838288158647454</c:v>
                </c:pt>
                <c:pt idx="27">
                  <c:v>0.29998162756140279</c:v>
                </c:pt>
                <c:pt idx="28">
                  <c:v>0.31230719252264139</c:v>
                </c:pt>
                <c:pt idx="29">
                  <c:v>0.30227560076321303</c:v>
                </c:pt>
                <c:pt idx="30">
                  <c:v>0.26942551819257465</c:v>
                </c:pt>
                <c:pt idx="31">
                  <c:v>0.27587863174487648</c:v>
                </c:pt>
                <c:pt idx="32">
                  <c:v>0.27587863174487648</c:v>
                </c:pt>
                <c:pt idx="33">
                  <c:v>0.27732253894269365</c:v>
                </c:pt>
                <c:pt idx="34">
                  <c:v>0.27579557551053568</c:v>
                </c:pt>
                <c:pt idx="35">
                  <c:v>0.28383595227259983</c:v>
                </c:pt>
                <c:pt idx="36">
                  <c:v>0.29627051961562356</c:v>
                </c:pt>
                <c:pt idx="37">
                  <c:v>0.26771637033684925</c:v>
                </c:pt>
                <c:pt idx="38">
                  <c:v>0.25371685415866785</c:v>
                </c:pt>
                <c:pt idx="39">
                  <c:v>0.26773683126656378</c:v>
                </c:pt>
                <c:pt idx="40">
                  <c:v>0.27871735900780759</c:v>
                </c:pt>
                <c:pt idx="41">
                  <c:v>0.27752245384801777</c:v>
                </c:pt>
                <c:pt idx="42">
                  <c:v>0.28103269776371353</c:v>
                </c:pt>
                <c:pt idx="43">
                  <c:v>0.27865662372086542</c:v>
                </c:pt>
                <c:pt idx="44">
                  <c:v>0.27722034795531136</c:v>
                </c:pt>
                <c:pt idx="45">
                  <c:v>0.26435817202701017</c:v>
                </c:pt>
                <c:pt idx="46">
                  <c:v>0.25862172909995318</c:v>
                </c:pt>
                <c:pt idx="47">
                  <c:v>0.26362016212522099</c:v>
                </c:pt>
                <c:pt idx="48">
                  <c:v>0.26136332069563528</c:v>
                </c:pt>
                <c:pt idx="49">
                  <c:v>0.26136332069563528</c:v>
                </c:pt>
                <c:pt idx="50">
                  <c:v>0.20049127880090645</c:v>
                </c:pt>
                <c:pt idx="51">
                  <c:v>0.21992967310785672</c:v>
                </c:pt>
                <c:pt idx="52">
                  <c:v>0.2292765416126471</c:v>
                </c:pt>
                <c:pt idx="53">
                  <c:v>0.26331786250032252</c:v>
                </c:pt>
                <c:pt idx="54">
                  <c:v>0.29049542615947554</c:v>
                </c:pt>
                <c:pt idx="55">
                  <c:v>0.29192350942625511</c:v>
                </c:pt>
                <c:pt idx="56">
                  <c:v>0.29436359774751764</c:v>
                </c:pt>
                <c:pt idx="57">
                  <c:v>0.27742166959083236</c:v>
                </c:pt>
                <c:pt idx="58">
                  <c:v>0.26085928767904099</c:v>
                </c:pt>
                <c:pt idx="59">
                  <c:v>0.25862172946952589</c:v>
                </c:pt>
                <c:pt idx="60">
                  <c:v>0.24589439385017253</c:v>
                </c:pt>
                <c:pt idx="61">
                  <c:v>0.23878795142495002</c:v>
                </c:pt>
                <c:pt idx="62">
                  <c:v>0.2182016567301811</c:v>
                </c:pt>
                <c:pt idx="63">
                  <c:v>0.2182016567301811</c:v>
                </c:pt>
                <c:pt idx="64">
                  <c:v>0.24397675746324343</c:v>
                </c:pt>
                <c:pt idx="65">
                  <c:v>0.25508930245744632</c:v>
                </c:pt>
                <c:pt idx="66">
                  <c:v>0.28393138373606364</c:v>
                </c:pt>
                <c:pt idx="67">
                  <c:v>0.3379306907111953</c:v>
                </c:pt>
                <c:pt idx="68">
                  <c:v>0.32878858134397726</c:v>
                </c:pt>
                <c:pt idx="69">
                  <c:v>0.33370794531309089</c:v>
                </c:pt>
                <c:pt idx="70">
                  <c:v>0.31260092253359628</c:v>
                </c:pt>
                <c:pt idx="71">
                  <c:v>0.29853151953376211</c:v>
                </c:pt>
                <c:pt idx="72">
                  <c:v>0.29106636216390569</c:v>
                </c:pt>
                <c:pt idx="73">
                  <c:v>0.28483728847709266</c:v>
                </c:pt>
                <c:pt idx="74">
                  <c:v>0.28243571653218991</c:v>
                </c:pt>
                <c:pt idx="75">
                  <c:v>0.27944887032449406</c:v>
                </c:pt>
                <c:pt idx="76">
                  <c:v>0.27491608795721467</c:v>
                </c:pt>
                <c:pt idx="77">
                  <c:v>0.2688332953937852</c:v>
                </c:pt>
                <c:pt idx="78">
                  <c:v>0.27282024596849885</c:v>
                </c:pt>
                <c:pt idx="79">
                  <c:v>0.2694133156141918</c:v>
                </c:pt>
                <c:pt idx="80">
                  <c:v>0.26571867901374657</c:v>
                </c:pt>
                <c:pt idx="81">
                  <c:v>0.26506200188855522</c:v>
                </c:pt>
                <c:pt idx="82">
                  <c:v>0.25799411641095593</c:v>
                </c:pt>
                <c:pt idx="83">
                  <c:v>0.25216549709988156</c:v>
                </c:pt>
                <c:pt idx="84">
                  <c:v>0.23861374612975961</c:v>
                </c:pt>
                <c:pt idx="85">
                  <c:v>0.22672986438742504</c:v>
                </c:pt>
                <c:pt idx="86">
                  <c:v>0.23709939738707886</c:v>
                </c:pt>
                <c:pt idx="87">
                  <c:v>0.24298163835000564</c:v>
                </c:pt>
                <c:pt idx="88">
                  <c:v>0.23489461340619444</c:v>
                </c:pt>
                <c:pt idx="89">
                  <c:v>0.21452413669338144</c:v>
                </c:pt>
                <c:pt idx="90">
                  <c:v>0.24214358494353794</c:v>
                </c:pt>
                <c:pt idx="91">
                  <c:v>0.23468044913468356</c:v>
                </c:pt>
                <c:pt idx="92">
                  <c:v>0.23343027652299331</c:v>
                </c:pt>
                <c:pt idx="93">
                  <c:v>0.22016173979495013</c:v>
                </c:pt>
                <c:pt idx="94">
                  <c:v>0.23245787086704872</c:v>
                </c:pt>
                <c:pt idx="95">
                  <c:v>0.20373467482131724</c:v>
                </c:pt>
                <c:pt idx="96">
                  <c:v>0.2140717956438678</c:v>
                </c:pt>
                <c:pt idx="97">
                  <c:v>0.21596273833025503</c:v>
                </c:pt>
                <c:pt idx="98">
                  <c:v>0.19575197827293378</c:v>
                </c:pt>
                <c:pt idx="99">
                  <c:v>0.21046326706958796</c:v>
                </c:pt>
                <c:pt idx="100">
                  <c:v>0.2179983145275336</c:v>
                </c:pt>
                <c:pt idx="101">
                  <c:v>0.20727127753725283</c:v>
                </c:pt>
                <c:pt idx="102">
                  <c:v>0.19193591742117777</c:v>
                </c:pt>
                <c:pt idx="103">
                  <c:v>0.19727314516582117</c:v>
                </c:pt>
                <c:pt idx="104">
                  <c:v>0.20893321196227121</c:v>
                </c:pt>
                <c:pt idx="105">
                  <c:v>0.20329514385853709</c:v>
                </c:pt>
                <c:pt idx="106">
                  <c:v>0.19855887951748774</c:v>
                </c:pt>
                <c:pt idx="107">
                  <c:v>0.19273456172617209</c:v>
                </c:pt>
                <c:pt idx="108">
                  <c:v>0.18523766749680226</c:v>
                </c:pt>
                <c:pt idx="109">
                  <c:v>0.18993946220919145</c:v>
                </c:pt>
                <c:pt idx="110">
                  <c:v>0.18619860238152364</c:v>
                </c:pt>
                <c:pt idx="111">
                  <c:v>0.19210033466381493</c:v>
                </c:pt>
                <c:pt idx="112">
                  <c:v>0.21816856699454235</c:v>
                </c:pt>
                <c:pt idx="113">
                  <c:v>0.25970647689567172</c:v>
                </c:pt>
                <c:pt idx="114">
                  <c:v>0.243828425216571</c:v>
                </c:pt>
                <c:pt idx="115">
                  <c:v>0.23761181404078702</c:v>
                </c:pt>
                <c:pt idx="116">
                  <c:v>0.25177431494416813</c:v>
                </c:pt>
                <c:pt idx="117">
                  <c:v>0.237367921027687</c:v>
                </c:pt>
                <c:pt idx="118">
                  <c:v>0.23943170066101882</c:v>
                </c:pt>
                <c:pt idx="119">
                  <c:v>0.21889213101813398</c:v>
                </c:pt>
                <c:pt idx="120">
                  <c:v>0.21696008083783747</c:v>
                </c:pt>
                <c:pt idx="121">
                  <c:v>0.21696008083783747</c:v>
                </c:pt>
                <c:pt idx="122">
                  <c:v>0.19895001154165615</c:v>
                </c:pt>
                <c:pt idx="123">
                  <c:v>0.18949101030437299</c:v>
                </c:pt>
                <c:pt idx="124">
                  <c:v>0.18657985149135481</c:v>
                </c:pt>
                <c:pt idx="125">
                  <c:v>0.18489834213140466</c:v>
                </c:pt>
                <c:pt idx="126">
                  <c:v>0.18323022382420817</c:v>
                </c:pt>
                <c:pt idx="127">
                  <c:v>0.18056364264908142</c:v>
                </c:pt>
                <c:pt idx="128">
                  <c:v>0.18436463032301831</c:v>
                </c:pt>
                <c:pt idx="129">
                  <c:v>0.17579751545940248</c:v>
                </c:pt>
                <c:pt idx="130">
                  <c:v>0.17997499387209637</c:v>
                </c:pt>
                <c:pt idx="131">
                  <c:v>0.16891508402654642</c:v>
                </c:pt>
                <c:pt idx="132">
                  <c:v>0.16166228815264916</c:v>
                </c:pt>
                <c:pt idx="133">
                  <c:v>0.16688885846601365</c:v>
                </c:pt>
                <c:pt idx="134">
                  <c:v>0.16154938510905092</c:v>
                </c:pt>
                <c:pt idx="135">
                  <c:v>0.16154938510905092</c:v>
                </c:pt>
                <c:pt idx="136">
                  <c:v>0.1582988940635025</c:v>
                </c:pt>
                <c:pt idx="137">
                  <c:v>0.14816455472812329</c:v>
                </c:pt>
                <c:pt idx="138">
                  <c:v>0.1417524896647302</c:v>
                </c:pt>
                <c:pt idx="139">
                  <c:v>0.13064495280888522</c:v>
                </c:pt>
                <c:pt idx="140">
                  <c:v>0.12024039582418278</c:v>
                </c:pt>
                <c:pt idx="141">
                  <c:v>0.14718847856298034</c:v>
                </c:pt>
                <c:pt idx="142">
                  <c:v>0.17446853527900164</c:v>
                </c:pt>
                <c:pt idx="143">
                  <c:v>0.16041454904072439</c:v>
                </c:pt>
                <c:pt idx="144">
                  <c:v>0.14635857100036975</c:v>
                </c:pt>
                <c:pt idx="145">
                  <c:v>0.13603827996617068</c:v>
                </c:pt>
                <c:pt idx="146">
                  <c:v>0.12758202726095602</c:v>
                </c:pt>
                <c:pt idx="147">
                  <c:v>0.11833405615554848</c:v>
                </c:pt>
                <c:pt idx="148">
                  <c:v>0.11342388716359797</c:v>
                </c:pt>
                <c:pt idx="149">
                  <c:v>0.10884441344316431</c:v>
                </c:pt>
                <c:pt idx="150">
                  <c:v>0.11050432496070095</c:v>
                </c:pt>
                <c:pt idx="151">
                  <c:v>0.10946210978351056</c:v>
                </c:pt>
                <c:pt idx="152">
                  <c:v>0.10713222511172316</c:v>
                </c:pt>
                <c:pt idx="153">
                  <c:v>0.10713222511172316</c:v>
                </c:pt>
                <c:pt idx="154">
                  <c:v>0.10448618012882716</c:v>
                </c:pt>
                <c:pt idx="155">
                  <c:v>0.1004190632433809</c:v>
                </c:pt>
                <c:pt idx="156">
                  <c:v>9.754343740236493E-2</c:v>
                </c:pt>
                <c:pt idx="157">
                  <c:v>9.1396577025743997E-2</c:v>
                </c:pt>
                <c:pt idx="158">
                  <c:v>8.5307917036662184E-2</c:v>
                </c:pt>
                <c:pt idx="159">
                  <c:v>7.3710352615775965E-2</c:v>
                </c:pt>
                <c:pt idx="160">
                  <c:v>7.2350709935919078E-2</c:v>
                </c:pt>
                <c:pt idx="161">
                  <c:v>6.6654900008257134E-2</c:v>
                </c:pt>
                <c:pt idx="162">
                  <c:v>6.729850192162723E-2</c:v>
                </c:pt>
                <c:pt idx="163">
                  <c:v>8.2972799706807265E-2</c:v>
                </c:pt>
                <c:pt idx="164">
                  <c:v>7.7781052212061996E-2</c:v>
                </c:pt>
                <c:pt idx="165">
                  <c:v>8.7097606211065659E-2</c:v>
                </c:pt>
                <c:pt idx="166">
                  <c:v>8.7929121565513357E-2</c:v>
                </c:pt>
                <c:pt idx="167">
                  <c:v>9.2934298619482214E-2</c:v>
                </c:pt>
                <c:pt idx="168">
                  <c:v>9.4992091930067857E-2</c:v>
                </c:pt>
                <c:pt idx="169">
                  <c:v>8.0551695114641664E-2</c:v>
                </c:pt>
                <c:pt idx="170">
                  <c:v>8.132353705384332E-2</c:v>
                </c:pt>
                <c:pt idx="171">
                  <c:v>8.132353705384332E-2</c:v>
                </c:pt>
                <c:pt idx="172">
                  <c:v>9.0943575212558248E-2</c:v>
                </c:pt>
                <c:pt idx="173">
                  <c:v>0.10991674845293165</c:v>
                </c:pt>
                <c:pt idx="174">
                  <c:v>0.10483736297246027</c:v>
                </c:pt>
                <c:pt idx="175">
                  <c:v>0.11100049022422009</c:v>
                </c:pt>
                <c:pt idx="176">
                  <c:v>0.11100049022422009</c:v>
                </c:pt>
                <c:pt idx="177">
                  <c:v>0.11519127663458983</c:v>
                </c:pt>
                <c:pt idx="178">
                  <c:v>0.1269465246754391</c:v>
                </c:pt>
                <c:pt idx="179">
                  <c:v>0.11210108351288062</c:v>
                </c:pt>
                <c:pt idx="180">
                  <c:v>0.1099976604392866</c:v>
                </c:pt>
                <c:pt idx="181">
                  <c:v>0.11769566099047213</c:v>
                </c:pt>
                <c:pt idx="182">
                  <c:v>0.10545871423310527</c:v>
                </c:pt>
                <c:pt idx="183">
                  <c:v>9.0955552408760965E-2</c:v>
                </c:pt>
                <c:pt idx="184">
                  <c:v>8.7003139495359649E-2</c:v>
                </c:pt>
                <c:pt idx="185">
                  <c:v>8.4032505689917159E-2</c:v>
                </c:pt>
                <c:pt idx="186">
                  <c:v>8.0640762402622079E-2</c:v>
                </c:pt>
                <c:pt idx="187">
                  <c:v>9.0973485499579843E-2</c:v>
                </c:pt>
                <c:pt idx="188">
                  <c:v>8.3728248190292121E-2</c:v>
                </c:pt>
                <c:pt idx="189">
                  <c:v>8.5395491615493868E-2</c:v>
                </c:pt>
                <c:pt idx="190">
                  <c:v>8.7016483349632745E-2</c:v>
                </c:pt>
                <c:pt idx="191">
                  <c:v>0.10385071745457264</c:v>
                </c:pt>
                <c:pt idx="192">
                  <c:v>9.3260992058747827E-2</c:v>
                </c:pt>
                <c:pt idx="193">
                  <c:v>8.732216210577548E-2</c:v>
                </c:pt>
                <c:pt idx="194">
                  <c:v>7.8321173588246418E-2</c:v>
                </c:pt>
                <c:pt idx="195">
                  <c:v>7.9072574193408851E-2</c:v>
                </c:pt>
                <c:pt idx="196">
                  <c:v>7.9072574193408851E-2</c:v>
                </c:pt>
                <c:pt idx="197">
                  <c:v>7.8313656486970307E-2</c:v>
                </c:pt>
                <c:pt idx="198">
                  <c:v>7.7561711900383079E-2</c:v>
                </c:pt>
                <c:pt idx="199">
                  <c:v>7.5831000710022689E-2</c:v>
                </c:pt>
                <c:pt idx="200">
                  <c:v>7.5831000710022689E-2</c:v>
                </c:pt>
                <c:pt idx="201">
                  <c:v>8.2887892805258101E-2</c:v>
                </c:pt>
                <c:pt idx="202">
                  <c:v>7.8767741639672817E-2</c:v>
                </c:pt>
                <c:pt idx="203">
                  <c:v>7.5571129819945293E-2</c:v>
                </c:pt>
                <c:pt idx="204">
                  <c:v>7.4844435810643484E-2</c:v>
                </c:pt>
                <c:pt idx="205">
                  <c:v>7.4124446028630442E-2</c:v>
                </c:pt>
                <c:pt idx="206">
                  <c:v>7.4124446028630442E-2</c:v>
                </c:pt>
                <c:pt idx="207">
                  <c:v>7.3411104200395316E-2</c:v>
                </c:pt>
                <c:pt idx="208">
                  <c:v>6.9477337559872177E-2</c:v>
                </c:pt>
                <c:pt idx="209">
                  <c:v>7.3329017328614965E-2</c:v>
                </c:pt>
                <c:pt idx="210">
                  <c:v>6.9791175265965233E-2</c:v>
                </c:pt>
                <c:pt idx="211">
                  <c:v>6.9791175265965233E-2</c:v>
                </c:pt>
                <c:pt idx="212">
                  <c:v>6.4983212288943326E-2</c:v>
                </c:pt>
                <c:pt idx="213">
                  <c:v>6.5611246488556429E-2</c:v>
                </c:pt>
                <c:pt idx="214">
                  <c:v>7.7464163628888305E-2</c:v>
                </c:pt>
                <c:pt idx="215">
                  <c:v>6.9245620186523249E-2</c:v>
                </c:pt>
                <c:pt idx="216">
                  <c:v>7.1730827728807345E-2</c:v>
                </c:pt>
                <c:pt idx="217">
                  <c:v>6.4099249030245331E-2</c:v>
                </c:pt>
                <c:pt idx="218">
                  <c:v>6.2283075589143477E-2</c:v>
                </c:pt>
                <c:pt idx="219">
                  <c:v>6.0664184863367887E-2</c:v>
                </c:pt>
                <c:pt idx="220">
                  <c:v>5.8932607441625873E-2</c:v>
                </c:pt>
                <c:pt idx="221">
                  <c:v>5.0687139886131605E-2</c:v>
                </c:pt>
                <c:pt idx="222">
                  <c:v>5.5429958278904179E-2</c:v>
                </c:pt>
                <c:pt idx="223">
                  <c:v>5.6795320845725139E-2</c:v>
                </c:pt>
                <c:pt idx="224">
                  <c:v>5.7346669983721954E-2</c:v>
                </c:pt>
                <c:pt idx="225">
                  <c:v>5.1203038098176168E-2</c:v>
                </c:pt>
                <c:pt idx="226">
                  <c:v>5.1701599042954238E-2</c:v>
                </c:pt>
                <c:pt idx="227">
                  <c:v>4.7965109123464522E-2</c:v>
                </c:pt>
                <c:pt idx="228">
                  <c:v>5.384274391635735E-2</c:v>
                </c:pt>
                <c:pt idx="229">
                  <c:v>4.4445765283257388E-2</c:v>
                </c:pt>
                <c:pt idx="230">
                  <c:v>4.7482306504593175E-2</c:v>
                </c:pt>
                <c:pt idx="231">
                  <c:v>5.4611152150920939E-2</c:v>
                </c:pt>
                <c:pt idx="232">
                  <c:v>5.1329248052841336E-2</c:v>
                </c:pt>
                <c:pt idx="233">
                  <c:v>5.364318627131992E-2</c:v>
                </c:pt>
                <c:pt idx="234">
                  <c:v>6.104721249462175E-2</c:v>
                </c:pt>
                <c:pt idx="235">
                  <c:v>0.110543718170524</c:v>
                </c:pt>
                <c:pt idx="236">
                  <c:v>8.8107734523789394E-2</c:v>
                </c:pt>
                <c:pt idx="237">
                  <c:v>8.7266277054442898E-2</c:v>
                </c:pt>
                <c:pt idx="238">
                  <c:v>0.10497144107110612</c:v>
                </c:pt>
                <c:pt idx="239">
                  <c:v>8.7831653003317967E-2</c:v>
                </c:pt>
                <c:pt idx="240">
                  <c:v>9.1428012307608664E-2</c:v>
                </c:pt>
                <c:pt idx="241">
                  <c:v>9.9658573943354423E-2</c:v>
                </c:pt>
                <c:pt idx="242">
                  <c:v>8.738984780632153E-2</c:v>
                </c:pt>
                <c:pt idx="243">
                  <c:v>6.9579999852380947E-2</c:v>
                </c:pt>
                <c:pt idx="244">
                  <c:v>7.5571839418682396E-2</c:v>
                </c:pt>
                <c:pt idx="245">
                  <c:v>7.0613167150119782E-2</c:v>
                </c:pt>
                <c:pt idx="246">
                  <c:v>6.668594043920073E-2</c:v>
                </c:pt>
                <c:pt idx="247">
                  <c:v>8.1274612695573789E-2</c:v>
                </c:pt>
                <c:pt idx="248">
                  <c:v>7.7834579932601677E-2</c:v>
                </c:pt>
                <c:pt idx="249">
                  <c:v>8.3859459902913325E-2</c:v>
                </c:pt>
                <c:pt idx="250">
                  <c:v>9.2643546037107338E-2</c:v>
                </c:pt>
                <c:pt idx="251">
                  <c:v>9.7338403056230094E-2</c:v>
                </c:pt>
                <c:pt idx="252">
                  <c:v>0.10941236456501124</c:v>
                </c:pt>
                <c:pt idx="253">
                  <c:v>8.6786429731090187E-2</c:v>
                </c:pt>
                <c:pt idx="254">
                  <c:v>7.8571238554968836E-2</c:v>
                </c:pt>
                <c:pt idx="255">
                  <c:v>8.0296223800009447E-2</c:v>
                </c:pt>
                <c:pt idx="256">
                  <c:v>8.2759453375263803E-2</c:v>
                </c:pt>
                <c:pt idx="257">
                  <c:v>8.2759453375263803E-2</c:v>
                </c:pt>
                <c:pt idx="258">
                  <c:v>9.6794706953427845E-2</c:v>
                </c:pt>
                <c:pt idx="259">
                  <c:v>0.10530667560965379</c:v>
                </c:pt>
                <c:pt idx="260">
                  <c:v>0.12207181954280066</c:v>
                </c:pt>
                <c:pt idx="261">
                  <c:v>0.11564958604611408</c:v>
                </c:pt>
                <c:pt idx="262">
                  <c:v>0.11456203441952761</c:v>
                </c:pt>
                <c:pt idx="263">
                  <c:v>0.13558589924819309</c:v>
                </c:pt>
                <c:pt idx="264">
                  <c:v>0.12620616183933842</c:v>
                </c:pt>
                <c:pt idx="265">
                  <c:v>0.1217673141471054</c:v>
                </c:pt>
                <c:pt idx="266">
                  <c:v>0.1217673141471054</c:v>
                </c:pt>
                <c:pt idx="267">
                  <c:v>0.13952040114088737</c:v>
                </c:pt>
                <c:pt idx="268">
                  <c:v>0.1476567418523167</c:v>
                </c:pt>
                <c:pt idx="269">
                  <c:v>0.13539693178631196</c:v>
                </c:pt>
                <c:pt idx="270">
                  <c:v>0.1302372795576483</c:v>
                </c:pt>
                <c:pt idx="271">
                  <c:v>0.11786755343938848</c:v>
                </c:pt>
                <c:pt idx="272">
                  <c:v>0.11786755343938848</c:v>
                </c:pt>
                <c:pt idx="273">
                  <c:v>9.6192858301035411E-2</c:v>
                </c:pt>
                <c:pt idx="274">
                  <c:v>9.7106500235032422E-2</c:v>
                </c:pt>
                <c:pt idx="275">
                  <c:v>8.9672078944129319E-2</c:v>
                </c:pt>
                <c:pt idx="276">
                  <c:v>9.3506106619011042E-2</c:v>
                </c:pt>
                <c:pt idx="277">
                  <c:v>8.3664006934677682E-2</c:v>
                </c:pt>
                <c:pt idx="278">
                  <c:v>8.3664006934677682E-2</c:v>
                </c:pt>
                <c:pt idx="279">
                  <c:v>7.4814700222438524E-2</c:v>
                </c:pt>
                <c:pt idx="280">
                  <c:v>7.5533856111735354E-2</c:v>
                </c:pt>
                <c:pt idx="281">
                  <c:v>8.3482932187826653E-2</c:v>
                </c:pt>
                <c:pt idx="282">
                  <c:v>8.7960980862517579E-2</c:v>
                </c:pt>
                <c:pt idx="283">
                  <c:v>0.10224278407501375</c:v>
                </c:pt>
                <c:pt idx="284">
                  <c:v>0.10751235494951572</c:v>
                </c:pt>
                <c:pt idx="285">
                  <c:v>0.10852691657377</c:v>
                </c:pt>
                <c:pt idx="286">
                  <c:v>9.6384291281757406E-2</c:v>
                </c:pt>
                <c:pt idx="287">
                  <c:v>9.233915791973335E-2</c:v>
                </c:pt>
                <c:pt idx="288">
                  <c:v>9.4719928359986105E-2</c:v>
                </c:pt>
                <c:pt idx="289">
                  <c:v>0.10193692687709177</c:v>
                </c:pt>
                <c:pt idx="290">
                  <c:v>0.10193692687709177</c:v>
                </c:pt>
                <c:pt idx="291">
                  <c:v>0.10290196030228327</c:v>
                </c:pt>
                <c:pt idx="292">
                  <c:v>0.10192727130222712</c:v>
                </c:pt>
                <c:pt idx="293">
                  <c:v>0.11649952748637415</c:v>
                </c:pt>
                <c:pt idx="294">
                  <c:v>0.12025826197128053</c:v>
                </c:pt>
                <c:pt idx="295">
                  <c:v>0.12240312253093177</c:v>
                </c:pt>
                <c:pt idx="296">
                  <c:v>0.1212565140827333</c:v>
                </c:pt>
                <c:pt idx="297">
                  <c:v>0.13272997868741632</c:v>
                </c:pt>
                <c:pt idx="298">
                  <c:v>0.23859044718960642</c:v>
                </c:pt>
                <c:pt idx="299">
                  <c:v>0.19712880227823071</c:v>
                </c:pt>
                <c:pt idx="300">
                  <c:v>0.32584609327098235</c:v>
                </c:pt>
                <c:pt idx="301">
                  <c:v>0.19201536802210684</c:v>
                </c:pt>
                <c:pt idx="302">
                  <c:v>0.190906336946983</c:v>
                </c:pt>
                <c:pt idx="303">
                  <c:v>0.21410684114490208</c:v>
                </c:pt>
                <c:pt idx="304">
                  <c:v>0.25313936589935837</c:v>
                </c:pt>
                <c:pt idx="305">
                  <c:v>0.19717171681283963</c:v>
                </c:pt>
                <c:pt idx="306">
                  <c:v>0.24268841760066506</c:v>
                </c:pt>
                <c:pt idx="307">
                  <c:v>0.23036183115789111</c:v>
                </c:pt>
                <c:pt idx="308">
                  <c:v>0.18828798852936579</c:v>
                </c:pt>
                <c:pt idx="309">
                  <c:v>0.18997953328040906</c:v>
                </c:pt>
                <c:pt idx="310">
                  <c:v>0.18640826140455458</c:v>
                </c:pt>
                <c:pt idx="311">
                  <c:v>0.19108530677499724</c:v>
                </c:pt>
                <c:pt idx="312">
                  <c:v>0.20140951870222334</c:v>
                </c:pt>
                <c:pt idx="313">
                  <c:v>0.21335630676012896</c:v>
                </c:pt>
                <c:pt idx="314">
                  <c:v>0.2189505778178864</c:v>
                </c:pt>
                <c:pt idx="315">
                  <c:v>0.22585789674676071</c:v>
                </c:pt>
                <c:pt idx="316">
                  <c:v>0.25131262776565144</c:v>
                </c:pt>
                <c:pt idx="317">
                  <c:v>0.2701883174545171</c:v>
                </c:pt>
                <c:pt idx="318">
                  <c:v>0.27115770847499887</c:v>
                </c:pt>
                <c:pt idx="319">
                  <c:v>0.27996353920772987</c:v>
                </c:pt>
                <c:pt idx="320">
                  <c:v>0.2534730427659172</c:v>
                </c:pt>
                <c:pt idx="321">
                  <c:v>0.24612511325279296</c:v>
                </c:pt>
                <c:pt idx="322">
                  <c:v>0.22873010605187172</c:v>
                </c:pt>
                <c:pt idx="323">
                  <c:v>0.20670538024086715</c:v>
                </c:pt>
                <c:pt idx="324">
                  <c:v>0.1956713829013661</c:v>
                </c:pt>
                <c:pt idx="325">
                  <c:v>0.18914357333430309</c:v>
                </c:pt>
                <c:pt idx="326">
                  <c:v>0.18831208343978212</c:v>
                </c:pt>
                <c:pt idx="327">
                  <c:v>0.18378820452968081</c:v>
                </c:pt>
                <c:pt idx="328">
                  <c:v>0.14896583672284536</c:v>
                </c:pt>
                <c:pt idx="329">
                  <c:v>0.15746530542931814</c:v>
                </c:pt>
                <c:pt idx="330">
                  <c:v>0.14715853035127047</c:v>
                </c:pt>
                <c:pt idx="331">
                  <c:v>0.13771520412607541</c:v>
                </c:pt>
                <c:pt idx="332">
                  <c:v>0.12789808723565166</c:v>
                </c:pt>
                <c:pt idx="333">
                  <c:v>0.13011546419097597</c:v>
                </c:pt>
                <c:pt idx="334">
                  <c:v>0.14022617667494452</c:v>
                </c:pt>
                <c:pt idx="335">
                  <c:v>0.13350690500048623</c:v>
                </c:pt>
                <c:pt idx="336">
                  <c:v>0.12896978798700243</c:v>
                </c:pt>
                <c:pt idx="337">
                  <c:v>0.14063992236800771</c:v>
                </c:pt>
                <c:pt idx="338">
                  <c:v>0.12980367241860569</c:v>
                </c:pt>
                <c:pt idx="339">
                  <c:v>0.11389428564345727</c:v>
                </c:pt>
                <c:pt idx="340">
                  <c:v>0.10869662041521233</c:v>
                </c:pt>
                <c:pt idx="341">
                  <c:v>9.2511962850245211E-2</c:v>
                </c:pt>
                <c:pt idx="342">
                  <c:v>0.10376398024580624</c:v>
                </c:pt>
                <c:pt idx="343">
                  <c:v>0.10031275763004577</c:v>
                </c:pt>
                <c:pt idx="344">
                  <c:v>0.10405658168204335</c:v>
                </c:pt>
                <c:pt idx="345">
                  <c:v>0.10307159577637026</c:v>
                </c:pt>
                <c:pt idx="346">
                  <c:v>9.8266660810899964E-2</c:v>
                </c:pt>
                <c:pt idx="347">
                  <c:v>9.2147153369562695E-2</c:v>
                </c:pt>
                <c:pt idx="348">
                  <c:v>0.10175013576596925</c:v>
                </c:pt>
                <c:pt idx="349">
                  <c:v>0.10271350381177602</c:v>
                </c:pt>
                <c:pt idx="350">
                  <c:v>9.0471266901901548E-2</c:v>
                </c:pt>
                <c:pt idx="351">
                  <c:v>9.3716853246801568E-2</c:v>
                </c:pt>
                <c:pt idx="352">
                  <c:v>0.10149669014544294</c:v>
                </c:pt>
                <c:pt idx="353">
                  <c:v>0.10633844603850728</c:v>
                </c:pt>
                <c:pt idx="354">
                  <c:v>9.9898695244025948E-2</c:v>
                </c:pt>
                <c:pt idx="355">
                  <c:v>9.5157392710110367E-2</c:v>
                </c:pt>
                <c:pt idx="356">
                  <c:v>9.5157392710110367E-2</c:v>
                </c:pt>
                <c:pt idx="357">
                  <c:v>9.7502202846457386E-2</c:v>
                </c:pt>
                <c:pt idx="358">
                  <c:v>9.2654729001045766E-2</c:v>
                </c:pt>
                <c:pt idx="359">
                  <c:v>9.504581466800055E-2</c:v>
                </c:pt>
                <c:pt idx="360">
                  <c:v>9.4141576770590651E-2</c:v>
                </c:pt>
                <c:pt idx="361">
                  <c:v>9.0780142233192085E-2</c:v>
                </c:pt>
                <c:pt idx="362">
                  <c:v>9.164502012596798E-2</c:v>
                </c:pt>
                <c:pt idx="363">
                  <c:v>8.4588801392862067E-2</c:v>
                </c:pt>
                <c:pt idx="364">
                  <c:v>9.242776723430568E-2</c:v>
                </c:pt>
                <c:pt idx="365">
                  <c:v>0.10095462306850234</c:v>
                </c:pt>
                <c:pt idx="366">
                  <c:v>0.10658852015049658</c:v>
                </c:pt>
                <c:pt idx="367">
                  <c:v>0.1118861232038777</c:v>
                </c:pt>
                <c:pt idx="368">
                  <c:v>0.10593976710638175</c:v>
                </c:pt>
                <c:pt idx="369">
                  <c:v>0.10120477341521372</c:v>
                </c:pt>
                <c:pt idx="370">
                  <c:v>0.100245246646262</c:v>
                </c:pt>
                <c:pt idx="371">
                  <c:v>9.3257982285455454E-2</c:v>
                </c:pt>
                <c:pt idx="372">
                  <c:v>8.8261180090870806E-2</c:v>
                </c:pt>
                <c:pt idx="373">
                  <c:v>8.9103253260876758E-2</c:v>
                </c:pt>
                <c:pt idx="374">
                  <c:v>9.7065073565595572E-2</c:v>
                </c:pt>
                <c:pt idx="375">
                  <c:v>9.2841591698559989E-2</c:v>
                </c:pt>
                <c:pt idx="376">
                  <c:v>8.9743275785733156E-2</c:v>
                </c:pt>
                <c:pt idx="377">
                  <c:v>8.3724440738540906E-2</c:v>
                </c:pt>
                <c:pt idx="378">
                  <c:v>8.5422549211673471E-2</c:v>
                </c:pt>
                <c:pt idx="379">
                  <c:v>9.3254163746139707E-2</c:v>
                </c:pt>
                <c:pt idx="380">
                  <c:v>0.11496450905719169</c:v>
                </c:pt>
                <c:pt idx="381">
                  <c:v>9.9945516318683203E-2</c:v>
                </c:pt>
                <c:pt idx="382">
                  <c:v>0.11340768753511121</c:v>
                </c:pt>
                <c:pt idx="383">
                  <c:v>0.10328290318309008</c:v>
                </c:pt>
                <c:pt idx="384">
                  <c:v>0.10723022787875036</c:v>
                </c:pt>
                <c:pt idx="385">
                  <c:v>0.10347491090776506</c:v>
                </c:pt>
                <c:pt idx="386">
                  <c:v>9.3998774090644388E-2</c:v>
                </c:pt>
                <c:pt idx="387">
                  <c:v>9.4892688471857944E-2</c:v>
                </c:pt>
                <c:pt idx="388">
                  <c:v>9.7628689319718354E-2</c:v>
                </c:pt>
                <c:pt idx="389">
                  <c:v>8.9405510797404442E-2</c:v>
                </c:pt>
                <c:pt idx="390">
                  <c:v>8.7061564268183345E-2</c:v>
                </c:pt>
                <c:pt idx="391">
                  <c:v>8.1762807985593877E-2</c:v>
                </c:pt>
                <c:pt idx="392">
                  <c:v>7.9570748879429609E-2</c:v>
                </c:pt>
                <c:pt idx="393">
                  <c:v>7.7049599955288706E-2</c:v>
                </c:pt>
                <c:pt idx="394">
                  <c:v>7.8607508241099855E-2</c:v>
                </c:pt>
                <c:pt idx="395">
                  <c:v>7.8607508241099855E-2</c:v>
                </c:pt>
                <c:pt idx="396">
                  <c:v>8.4963951159131024E-2</c:v>
                </c:pt>
                <c:pt idx="397">
                  <c:v>7.9331865639267862E-2</c:v>
                </c:pt>
                <c:pt idx="398">
                  <c:v>8.3555979251817236E-2</c:v>
                </c:pt>
                <c:pt idx="399">
                  <c:v>8.1091727647362055E-2</c:v>
                </c:pt>
                <c:pt idx="400">
                  <c:v>7.9204880076213402E-2</c:v>
                </c:pt>
                <c:pt idx="401">
                  <c:v>7.3912144241736089E-2</c:v>
                </c:pt>
                <c:pt idx="402">
                  <c:v>6.5187865331880479E-2</c:v>
                </c:pt>
                <c:pt idx="403">
                  <c:v>6.4557498879433517E-2</c:v>
                </c:pt>
                <c:pt idx="404">
                  <c:v>6.5181563770518536E-2</c:v>
                </c:pt>
                <c:pt idx="405">
                  <c:v>6.5811446711117716E-2</c:v>
                </c:pt>
                <c:pt idx="406">
                  <c:v>6.1377969975003999E-2</c:v>
                </c:pt>
                <c:pt idx="407">
                  <c:v>6.7603971775319183E-2</c:v>
                </c:pt>
                <c:pt idx="408">
                  <c:v>7.0240310307234766E-2</c:v>
                </c:pt>
                <c:pt idx="409">
                  <c:v>7.4244287636655693E-2</c:v>
                </c:pt>
                <c:pt idx="410">
                  <c:v>6.8787683401842381E-2</c:v>
                </c:pt>
                <c:pt idx="411">
                  <c:v>7.263153257057664E-2</c:v>
                </c:pt>
                <c:pt idx="412">
                  <c:v>7.4348229704641944E-2</c:v>
                </c:pt>
                <c:pt idx="413">
                  <c:v>7.4348229704641944E-2</c:v>
                </c:pt>
                <c:pt idx="414">
                  <c:v>7.2657447260529806E-2</c:v>
                </c:pt>
                <c:pt idx="415">
                  <c:v>7.2657447260529806E-2</c:v>
                </c:pt>
                <c:pt idx="416">
                  <c:v>6.9678205765997814E-2</c:v>
                </c:pt>
                <c:pt idx="417">
                  <c:v>7.1199576396540731E-2</c:v>
                </c:pt>
                <c:pt idx="418">
                  <c:v>7.8715277637098402E-2</c:v>
                </c:pt>
                <c:pt idx="419">
                  <c:v>7.3912913677124492E-2</c:v>
                </c:pt>
                <c:pt idx="420">
                  <c:v>7.9864479786649567E-2</c:v>
                </c:pt>
                <c:pt idx="421">
                  <c:v>7.5576279774363875E-2</c:v>
                </c:pt>
                <c:pt idx="422">
                  <c:v>7.7155358575571209E-2</c:v>
                </c:pt>
                <c:pt idx="423">
                  <c:v>7.4515945640522108E-2</c:v>
                </c:pt>
                <c:pt idx="424">
                  <c:v>7.4515945640522108E-2</c:v>
                </c:pt>
                <c:pt idx="425">
                  <c:v>7.5232348044454889E-2</c:v>
                </c:pt>
                <c:pt idx="426">
                  <c:v>7.3468782781746955E-2</c:v>
                </c:pt>
                <c:pt idx="427">
                  <c:v>6.9725351001151625E-2</c:v>
                </c:pt>
                <c:pt idx="428">
                  <c:v>6.5988845202034629E-2</c:v>
                </c:pt>
                <c:pt idx="429">
                  <c:v>6.4639179736828312E-2</c:v>
                </c:pt>
                <c:pt idx="430">
                  <c:v>6.5264006363548344E-2</c:v>
                </c:pt>
                <c:pt idx="431">
                  <c:v>6.5264006363548344E-2</c:v>
                </c:pt>
                <c:pt idx="432">
                  <c:v>6.5264006363548344E-2</c:v>
                </c:pt>
                <c:pt idx="433">
                  <c:v>6.5264006363548344E-2</c:v>
                </c:pt>
                <c:pt idx="434">
                  <c:v>6.5264006363548344E-2</c:v>
                </c:pt>
                <c:pt idx="435">
                  <c:v>6.8014815010181806E-2</c:v>
                </c:pt>
                <c:pt idx="436">
                  <c:v>6.6410552367491493E-2</c:v>
                </c:pt>
                <c:pt idx="437">
                  <c:v>6.8860658347127623E-2</c:v>
                </c:pt>
                <c:pt idx="438">
                  <c:v>7.151688940876888E-2</c:v>
                </c:pt>
                <c:pt idx="439">
                  <c:v>7.4134735467486279E-2</c:v>
                </c:pt>
                <c:pt idx="440">
                  <c:v>6.943202767332568E-2</c:v>
                </c:pt>
                <c:pt idx="441">
                  <c:v>6.8762148511652299E-2</c:v>
                </c:pt>
                <c:pt idx="442">
                  <c:v>7.4016847169406041E-2</c:v>
                </c:pt>
                <c:pt idx="443">
                  <c:v>7.105695436397963E-2</c:v>
                </c:pt>
                <c:pt idx="444">
                  <c:v>7.1741406025118581E-2</c:v>
                </c:pt>
                <c:pt idx="445">
                  <c:v>8.2056835763590685E-2</c:v>
                </c:pt>
                <c:pt idx="446">
                  <c:v>9.8354447054248895E-2</c:v>
                </c:pt>
                <c:pt idx="447">
                  <c:v>9.1879126386023469E-2</c:v>
                </c:pt>
                <c:pt idx="448">
                  <c:v>0.10313477846389429</c:v>
                </c:pt>
                <c:pt idx="449">
                  <c:v>9.5194292742874609E-2</c:v>
                </c:pt>
                <c:pt idx="450">
                  <c:v>0.10679436030292222</c:v>
                </c:pt>
                <c:pt idx="451">
                  <c:v>0.10198515371715966</c:v>
                </c:pt>
                <c:pt idx="452">
                  <c:v>0.13287922569863408</c:v>
                </c:pt>
                <c:pt idx="453">
                  <c:v>0.12650977301344957</c:v>
                </c:pt>
                <c:pt idx="454">
                  <c:v>0.11828450974107252</c:v>
                </c:pt>
                <c:pt idx="455">
                  <c:v>9.9566273855542176E-2</c:v>
                </c:pt>
                <c:pt idx="456">
                  <c:v>0.102865010167559</c:v>
                </c:pt>
                <c:pt idx="457">
                  <c:v>8.82992037830298E-2</c:v>
                </c:pt>
                <c:pt idx="458">
                  <c:v>9.1224236943682313E-2</c:v>
                </c:pt>
                <c:pt idx="459">
                  <c:v>0.10202576837111543</c:v>
                </c:pt>
                <c:pt idx="460">
                  <c:v>0.11078334081341812</c:v>
                </c:pt>
                <c:pt idx="461">
                  <c:v>0.12182439650365973</c:v>
                </c:pt>
                <c:pt idx="462">
                  <c:v>9.8837096066206054E-2</c:v>
                </c:pt>
                <c:pt idx="463">
                  <c:v>9.3471497323277974E-2</c:v>
                </c:pt>
                <c:pt idx="464">
                  <c:v>0.10015958338466813</c:v>
                </c:pt>
                <c:pt idx="465">
                  <c:v>9.7432239184745306E-2</c:v>
                </c:pt>
                <c:pt idx="466">
                  <c:v>9.9416862152311936E-2</c:v>
                </c:pt>
                <c:pt idx="467">
                  <c:v>9.847334247488404E-2</c:v>
                </c:pt>
                <c:pt idx="468">
                  <c:v>9.847334247488404E-2</c:v>
                </c:pt>
                <c:pt idx="469">
                  <c:v>9.2592710367446318E-2</c:v>
                </c:pt>
                <c:pt idx="470">
                  <c:v>8.8509035566995187E-2</c:v>
                </c:pt>
                <c:pt idx="471">
                  <c:v>8.4150167530363196E-2</c:v>
                </c:pt>
                <c:pt idx="472">
                  <c:v>8.4150167530363196E-2</c:v>
                </c:pt>
                <c:pt idx="473">
                  <c:v>8.2528091610569954E-2</c:v>
                </c:pt>
                <c:pt idx="474">
                  <c:v>8.173750219101672E-2</c:v>
                </c:pt>
                <c:pt idx="475">
                  <c:v>7.8168375744685714E-2</c:v>
                </c:pt>
                <c:pt idx="476">
                  <c:v>7.5217176159310006E-2</c:v>
                </c:pt>
                <c:pt idx="477">
                  <c:v>6.9746854634683886E-2</c:v>
                </c:pt>
                <c:pt idx="478">
                  <c:v>7.0419170922557561E-2</c:v>
                </c:pt>
                <c:pt idx="479">
                  <c:v>7.1097717162589946E-2</c:v>
                </c:pt>
                <c:pt idx="480">
                  <c:v>7.4577104356441493E-2</c:v>
                </c:pt>
                <c:pt idx="481">
                  <c:v>7.6332648857211804E-2</c:v>
                </c:pt>
                <c:pt idx="482">
                  <c:v>7.4403454469166852E-2</c:v>
                </c:pt>
                <c:pt idx="483">
                  <c:v>7.1270203763203033E-2</c:v>
                </c:pt>
                <c:pt idx="484">
                  <c:v>7.1270203763203033E-2</c:v>
                </c:pt>
                <c:pt idx="485">
                  <c:v>7.8091455237628393E-2</c:v>
                </c:pt>
                <c:pt idx="486">
                  <c:v>9.2908708022543807E-2</c:v>
                </c:pt>
                <c:pt idx="487">
                  <c:v>9.6748941110122666E-2</c:v>
                </c:pt>
                <c:pt idx="488">
                  <c:v>0.1049838942289727</c:v>
                </c:pt>
                <c:pt idx="489">
                  <c:v>9.6267067592343492E-2</c:v>
                </c:pt>
                <c:pt idx="490">
                  <c:v>8.975984223494482E-2</c:v>
                </c:pt>
                <c:pt idx="491">
                  <c:v>9.0615491599520426E-2</c:v>
                </c:pt>
                <c:pt idx="492">
                  <c:v>9.1478881022492353E-2</c:v>
                </c:pt>
                <c:pt idx="493">
                  <c:v>8.8427128158747537E-2</c:v>
                </c:pt>
                <c:pt idx="494">
                  <c:v>8.1583915228647497E-2</c:v>
                </c:pt>
                <c:pt idx="495">
                  <c:v>8.1583915228647497E-2</c:v>
                </c:pt>
                <c:pt idx="496">
                  <c:v>7.9873813687552642E-2</c:v>
                </c:pt>
                <c:pt idx="497">
                  <c:v>7.5388906084135732E-2</c:v>
                </c:pt>
                <c:pt idx="498">
                  <c:v>7.5388906084135732E-2</c:v>
                </c:pt>
                <c:pt idx="499">
                  <c:v>7.466389267641349E-2</c:v>
                </c:pt>
                <c:pt idx="500">
                  <c:v>7.466389267641349E-2</c:v>
                </c:pt>
                <c:pt idx="501">
                  <c:v>7.466389267641349E-2</c:v>
                </c:pt>
                <c:pt idx="502">
                  <c:v>6.8147101362754703E-2</c:v>
                </c:pt>
                <c:pt idx="503">
                  <c:v>5.8333700216100071E-2</c:v>
                </c:pt>
                <c:pt idx="504">
                  <c:v>6.2510520224367094E-2</c:v>
                </c:pt>
                <c:pt idx="505">
                  <c:v>6.7503256783486232E-2</c:v>
                </c:pt>
                <c:pt idx="506">
                  <c:v>6.6851310558312282E-2</c:v>
                </c:pt>
                <c:pt idx="507">
                  <c:v>6.6851310558312282E-2</c:v>
                </c:pt>
                <c:pt idx="508">
                  <c:v>6.6851310558312282E-2</c:v>
                </c:pt>
                <c:pt idx="509">
                  <c:v>6.5285774614087799E-2</c:v>
                </c:pt>
                <c:pt idx="510">
                  <c:v>6.5285774614087799E-2</c:v>
                </c:pt>
                <c:pt idx="511">
                  <c:v>6.4654494481988678E-2</c:v>
                </c:pt>
                <c:pt idx="512">
                  <c:v>6.8215597373507575E-2</c:v>
                </c:pt>
                <c:pt idx="513">
                  <c:v>6.5082749473748591E-2</c:v>
                </c:pt>
                <c:pt idx="514">
                  <c:v>6.5082749473748591E-2</c:v>
                </c:pt>
                <c:pt idx="515">
                  <c:v>6.5082749473748591E-2</c:v>
                </c:pt>
                <c:pt idx="516">
                  <c:v>6.1907196879427584E-2</c:v>
                </c:pt>
                <c:pt idx="517">
                  <c:v>6.1907196879427584E-2</c:v>
                </c:pt>
                <c:pt idx="518">
                  <c:v>6.3183808026118782E-2</c:v>
                </c:pt>
                <c:pt idx="519">
                  <c:v>5.8872572293787395E-2</c:v>
                </c:pt>
                <c:pt idx="520">
                  <c:v>6.2658729745843633E-2</c:v>
                </c:pt>
                <c:pt idx="521">
                  <c:v>6.0459743376823138E-2</c:v>
                </c:pt>
                <c:pt idx="522">
                  <c:v>5.8721461614779535E-2</c:v>
                </c:pt>
                <c:pt idx="523">
                  <c:v>6.3128715073066499E-2</c:v>
                </c:pt>
                <c:pt idx="524">
                  <c:v>6.3128715073066499E-2</c:v>
                </c:pt>
                <c:pt idx="525">
                  <c:v>6.3128715073066499E-2</c:v>
                </c:pt>
                <c:pt idx="526">
                  <c:v>6.5004115201451884E-2</c:v>
                </c:pt>
                <c:pt idx="527">
                  <c:v>6.5004115201451884E-2</c:v>
                </c:pt>
                <c:pt idx="528">
                  <c:v>6.1272368244360109E-2</c:v>
                </c:pt>
                <c:pt idx="529">
                  <c:v>5.9016151014137375E-2</c:v>
                </c:pt>
                <c:pt idx="530">
                  <c:v>6.2158329789082867E-2</c:v>
                </c:pt>
                <c:pt idx="531">
                  <c:v>6.3885974244416111E-2</c:v>
                </c:pt>
                <c:pt idx="532">
                  <c:v>6.4503773933361597E-2</c:v>
                </c:pt>
                <c:pt idx="533">
                  <c:v>5.5570515193356429E-2</c:v>
                </c:pt>
                <c:pt idx="534">
                  <c:v>5.9966843733094022E-2</c:v>
                </c:pt>
                <c:pt idx="535">
                  <c:v>5.5996049355110267E-2</c:v>
                </c:pt>
                <c:pt idx="536">
                  <c:v>5.0977649764151423E-2</c:v>
                </c:pt>
                <c:pt idx="537">
                  <c:v>4.9668236153563416E-2</c:v>
                </c:pt>
                <c:pt idx="538">
                  <c:v>5.4978863033797953E-2</c:v>
                </c:pt>
                <c:pt idx="539">
                  <c:v>6.0838913042908671E-2</c:v>
                </c:pt>
                <c:pt idx="540">
                  <c:v>6.8966200838676106E-2</c:v>
                </c:pt>
                <c:pt idx="541">
                  <c:v>8.0319690970127589E-2</c:v>
                </c:pt>
                <c:pt idx="542">
                  <c:v>7.7681547625721104E-2</c:v>
                </c:pt>
                <c:pt idx="543">
                  <c:v>0.10738196487970986</c:v>
                </c:pt>
                <c:pt idx="544">
                  <c:v>9.018527188536507E-2</c:v>
                </c:pt>
                <c:pt idx="545">
                  <c:v>9.8835212916616566E-2</c:v>
                </c:pt>
                <c:pt idx="546">
                  <c:v>8.7083530973972034E-2</c:v>
                </c:pt>
                <c:pt idx="547">
                  <c:v>7.6863784486084663E-2</c:v>
                </c:pt>
                <c:pt idx="548">
                  <c:v>8.2194638609503601E-2</c:v>
                </c:pt>
                <c:pt idx="549">
                  <c:v>8.1407099855827281E-2</c:v>
                </c:pt>
                <c:pt idx="550">
                  <c:v>8.1407099855827281E-2</c:v>
                </c:pt>
                <c:pt idx="551">
                  <c:v>8.3824868360355742E-2</c:v>
                </c:pt>
                <c:pt idx="552">
                  <c:v>8.3824868360355742E-2</c:v>
                </c:pt>
                <c:pt idx="553">
                  <c:v>8.8833540508091113E-2</c:v>
                </c:pt>
                <c:pt idx="554">
                  <c:v>8.6183985152389564E-2</c:v>
                </c:pt>
                <c:pt idx="555">
                  <c:v>7.8047644267228433E-2</c:v>
                </c:pt>
                <c:pt idx="556">
                  <c:v>7.3110483714588059E-2</c:v>
                </c:pt>
                <c:pt idx="557">
                  <c:v>8.4960863915358509E-2</c:v>
                </c:pt>
                <c:pt idx="558">
                  <c:v>8.3021244446515041E-2</c:v>
                </c:pt>
                <c:pt idx="559">
                  <c:v>7.8219942326972158E-2</c:v>
                </c:pt>
                <c:pt idx="560">
                  <c:v>7.6748064044770192E-2</c:v>
                </c:pt>
                <c:pt idx="561">
                  <c:v>8.016627837842405E-2</c:v>
                </c:pt>
                <c:pt idx="562">
                  <c:v>8.1868523918152469E-2</c:v>
                </c:pt>
                <c:pt idx="563">
                  <c:v>8.4469413677979999E-2</c:v>
                </c:pt>
                <c:pt idx="564">
                  <c:v>8.0108316407631941E-2</c:v>
                </c:pt>
                <c:pt idx="565">
                  <c:v>8.0876099402699797E-2</c:v>
                </c:pt>
                <c:pt idx="566">
                  <c:v>8.2537207001166069E-2</c:v>
                </c:pt>
                <c:pt idx="567">
                  <c:v>7.875763818151682E-2</c:v>
                </c:pt>
                <c:pt idx="568">
                  <c:v>7.5564749238273388E-2</c:v>
                </c:pt>
                <c:pt idx="569">
                  <c:v>7.8852429038251737E-2</c:v>
                </c:pt>
                <c:pt idx="570">
                  <c:v>7.8852429038251737E-2</c:v>
                </c:pt>
                <c:pt idx="571">
                  <c:v>7.6852527923284009E-2</c:v>
                </c:pt>
                <c:pt idx="572">
                  <c:v>8.0241444207859058E-2</c:v>
                </c:pt>
                <c:pt idx="573">
                  <c:v>7.6601299003833723E-2</c:v>
                </c:pt>
                <c:pt idx="574">
                  <c:v>8.7439117251481457E-2</c:v>
                </c:pt>
                <c:pt idx="575">
                  <c:v>8.4120495867098466E-2</c:v>
                </c:pt>
                <c:pt idx="576">
                  <c:v>7.8376529454583066E-2</c:v>
                </c:pt>
                <c:pt idx="577">
                  <c:v>7.8376529454583066E-2</c:v>
                </c:pt>
                <c:pt idx="578">
                  <c:v>7.7624006940636425E-2</c:v>
                </c:pt>
                <c:pt idx="579">
                  <c:v>7.3946898573003739E-2</c:v>
                </c:pt>
                <c:pt idx="580">
                  <c:v>7.0401716933474301E-2</c:v>
                </c:pt>
                <c:pt idx="581">
                  <c:v>7.3833979922035553E-2</c:v>
                </c:pt>
                <c:pt idx="582">
                  <c:v>7.3123321654207096E-2</c:v>
                </c:pt>
                <c:pt idx="583">
                  <c:v>6.9154947064488326E-2</c:v>
                </c:pt>
                <c:pt idx="584">
                  <c:v>6.7166856676815656E-2</c:v>
                </c:pt>
                <c:pt idx="585">
                  <c:v>6.5414848810977921E-2</c:v>
                </c:pt>
                <c:pt idx="586">
                  <c:v>6.5414848810977921E-2</c:v>
                </c:pt>
                <c:pt idx="587">
                  <c:v>6.5414848810977921E-2</c:v>
                </c:pt>
                <c:pt idx="588">
                  <c:v>6.2491764818353168E-2</c:v>
                </c:pt>
                <c:pt idx="589">
                  <c:v>5.8375093964853408E-2</c:v>
                </c:pt>
                <c:pt idx="590">
                  <c:v>5.8941294783377285E-2</c:v>
                </c:pt>
                <c:pt idx="591">
                  <c:v>5.6171194311925743E-2</c:v>
                </c:pt>
                <c:pt idx="592">
                  <c:v>5.4291355718050549E-2</c:v>
                </c:pt>
                <c:pt idx="593">
                  <c:v>5.0251081495583327E-2</c:v>
                </c:pt>
                <c:pt idx="594">
                  <c:v>5.0251081495583327E-2</c:v>
                </c:pt>
                <c:pt idx="595">
                  <c:v>5.0251081495583327E-2</c:v>
                </c:pt>
                <c:pt idx="596">
                  <c:v>5.0740623278517361E-2</c:v>
                </c:pt>
                <c:pt idx="597">
                  <c:v>5.3343027687789979E-2</c:v>
                </c:pt>
                <c:pt idx="598">
                  <c:v>5.3343027687789979E-2</c:v>
                </c:pt>
                <c:pt idx="599">
                  <c:v>5.7787130219837168E-2</c:v>
                </c:pt>
                <c:pt idx="600">
                  <c:v>5.5457103387149154E-2</c:v>
                </c:pt>
                <c:pt idx="601">
                  <c:v>6.1366453382916242E-2</c:v>
                </c:pt>
                <c:pt idx="602">
                  <c:v>6.1366453382916242E-2</c:v>
                </c:pt>
                <c:pt idx="603">
                  <c:v>5.220489398972783E-2</c:v>
                </c:pt>
                <c:pt idx="604">
                  <c:v>5.1696579063617909E-2</c:v>
                </c:pt>
                <c:pt idx="605">
                  <c:v>5.1696579063617909E-2</c:v>
                </c:pt>
                <c:pt idx="606">
                  <c:v>5.2963327078278111E-2</c:v>
                </c:pt>
                <c:pt idx="607">
                  <c:v>6.1293145847956754E-2</c:v>
                </c:pt>
                <c:pt idx="608">
                  <c:v>5.6756652599174506E-2</c:v>
                </c:pt>
                <c:pt idx="609">
                  <c:v>6.2373728685762075E-2</c:v>
                </c:pt>
                <c:pt idx="610">
                  <c:v>6.6100641904239477E-2</c:v>
                </c:pt>
                <c:pt idx="611">
                  <c:v>6.431919071308434E-2</c:v>
                </c:pt>
                <c:pt idx="612">
                  <c:v>6.431919071308434E-2</c:v>
                </c:pt>
                <c:pt idx="613">
                  <c:v>6.0645623136146187E-2</c:v>
                </c:pt>
                <c:pt idx="614">
                  <c:v>5.7551146358432725E-2</c:v>
                </c:pt>
                <c:pt idx="615">
                  <c:v>6.2875000041536566E-2</c:v>
                </c:pt>
                <c:pt idx="616">
                  <c:v>6.756175564870559E-2</c:v>
                </c:pt>
                <c:pt idx="617">
                  <c:v>6.756175564870559E-2</c:v>
                </c:pt>
                <c:pt idx="618">
                  <c:v>6.4420200577474995E-2</c:v>
                </c:pt>
                <c:pt idx="619">
                  <c:v>7.4248929187267554E-2</c:v>
                </c:pt>
                <c:pt idx="620">
                  <c:v>0.10505239431778401</c:v>
                </c:pt>
                <c:pt idx="621">
                  <c:v>8.0835519671746736E-2</c:v>
                </c:pt>
                <c:pt idx="622">
                  <c:v>8.3614811152254553E-2</c:v>
                </c:pt>
                <c:pt idx="623">
                  <c:v>9.2250617787730915E-2</c:v>
                </c:pt>
                <c:pt idx="624">
                  <c:v>0.10450615300741162</c:v>
                </c:pt>
                <c:pt idx="625">
                  <c:v>0.10905178845197239</c:v>
                </c:pt>
                <c:pt idx="626">
                  <c:v>0.10802242548195629</c:v>
                </c:pt>
                <c:pt idx="627">
                  <c:v>0.10700218464452127</c:v>
                </c:pt>
                <c:pt idx="628">
                  <c:v>9.2480374031391421E-2</c:v>
                </c:pt>
                <c:pt idx="629">
                  <c:v>9.1599288766035958E-2</c:v>
                </c:pt>
                <c:pt idx="630">
                  <c:v>9.1599288766035958E-2</c:v>
                </c:pt>
                <c:pt idx="631">
                  <c:v>8.6412770594249122E-2</c:v>
                </c:pt>
                <c:pt idx="632">
                  <c:v>9.6432036401427945E-2</c:v>
                </c:pt>
                <c:pt idx="633">
                  <c:v>0.10862966389787132</c:v>
                </c:pt>
                <c:pt idx="634">
                  <c:v>0.10294904690615314</c:v>
                </c:pt>
                <c:pt idx="635">
                  <c:v>0.10107505893658175</c:v>
                </c:pt>
                <c:pt idx="636">
                  <c:v>9.8777522903449322E-2</c:v>
                </c:pt>
                <c:pt idx="637">
                  <c:v>9.6539966517738329E-2</c:v>
                </c:pt>
                <c:pt idx="638">
                  <c:v>9.2656112697866111E-2</c:v>
                </c:pt>
                <c:pt idx="639">
                  <c:v>8.8776887846202635E-2</c:v>
                </c:pt>
                <c:pt idx="640">
                  <c:v>9.4255208779041477E-2</c:v>
                </c:pt>
                <c:pt idx="641">
                  <c:v>8.947990347258139E-2</c:v>
                </c:pt>
                <c:pt idx="642">
                  <c:v>9.0333018796410869E-2</c:v>
                </c:pt>
                <c:pt idx="643">
                  <c:v>9.1193853916401113E-2</c:v>
                </c:pt>
                <c:pt idx="644">
                  <c:v>9.4021722584481493E-2</c:v>
                </c:pt>
                <c:pt idx="645">
                  <c:v>0.10563037795122221</c:v>
                </c:pt>
                <c:pt idx="646">
                  <c:v>0.10183015088886094</c:v>
                </c:pt>
                <c:pt idx="647">
                  <c:v>0.10086503345974618</c:v>
                </c:pt>
                <c:pt idx="648">
                  <c:v>0.10549598070999811</c:v>
                </c:pt>
                <c:pt idx="649">
                  <c:v>0.10649267072418467</c:v>
                </c:pt>
                <c:pt idx="650">
                  <c:v>0.10888555226818464</c:v>
                </c:pt>
                <c:pt idx="651">
                  <c:v>0.10785766167224298</c:v>
                </c:pt>
                <c:pt idx="652">
                  <c:v>0.1148904557874656</c:v>
                </c:pt>
                <c:pt idx="653">
                  <c:v>0.1148904557874656</c:v>
                </c:pt>
                <c:pt idx="654">
                  <c:v>0.12311272376437044</c:v>
                </c:pt>
                <c:pt idx="655">
                  <c:v>0.1255799831166754</c:v>
                </c:pt>
                <c:pt idx="656">
                  <c:v>0.13500736386890677</c:v>
                </c:pt>
                <c:pt idx="657">
                  <c:v>0.13500736386890677</c:v>
                </c:pt>
                <c:pt idx="658">
                  <c:v>0.14171211832748942</c:v>
                </c:pt>
                <c:pt idx="659">
                  <c:v>0.13620612974622981</c:v>
                </c:pt>
                <c:pt idx="660">
                  <c:v>0.12600077989689251</c:v>
                </c:pt>
                <c:pt idx="661">
                  <c:v>0.14993512357697725</c:v>
                </c:pt>
                <c:pt idx="662">
                  <c:v>0.15056042311216389</c:v>
                </c:pt>
                <c:pt idx="663">
                  <c:v>0.1351756331288837</c:v>
                </c:pt>
                <c:pt idx="664">
                  <c:v>0.13643069591964996</c:v>
                </c:pt>
                <c:pt idx="665">
                  <c:v>0.13228535419492582</c:v>
                </c:pt>
                <c:pt idx="666">
                  <c:v>0.13105325942383317</c:v>
                </c:pt>
                <c:pt idx="667">
                  <c:v>0.1288641584145096</c:v>
                </c:pt>
                <c:pt idx="668">
                  <c:v>0.13715279867645769</c:v>
                </c:pt>
                <c:pt idx="669">
                  <c:v>0.13402163851039928</c:v>
                </c:pt>
                <c:pt idx="670">
                  <c:v>0.13710584207049381</c:v>
                </c:pt>
                <c:pt idx="671">
                  <c:v>0.14406981649102035</c:v>
                </c:pt>
                <c:pt idx="672">
                  <c:v>0.15790849321069256</c:v>
                </c:pt>
                <c:pt idx="673">
                  <c:v>0.15178552488118369</c:v>
                </c:pt>
                <c:pt idx="674">
                  <c:v>0.14935163272812291</c:v>
                </c:pt>
                <c:pt idx="675">
                  <c:v>0.1507264989364252</c:v>
                </c:pt>
                <c:pt idx="676">
                  <c:v>0.16284572556470933</c:v>
                </c:pt>
                <c:pt idx="677">
                  <c:v>0.17588129109466089</c:v>
                </c:pt>
                <c:pt idx="678">
                  <c:v>0.17675283136310171</c:v>
                </c:pt>
                <c:pt idx="679">
                  <c:v>0.17367174564345789</c:v>
                </c:pt>
                <c:pt idx="680">
                  <c:v>0.17659923728724425</c:v>
                </c:pt>
                <c:pt idx="681">
                  <c:v>0.19387286350109234</c:v>
                </c:pt>
                <c:pt idx="682">
                  <c:v>0.17781603318660411</c:v>
                </c:pt>
                <c:pt idx="683">
                  <c:v>0.16750500210635733</c:v>
                </c:pt>
                <c:pt idx="684">
                  <c:v>0.1552511562850909</c:v>
                </c:pt>
                <c:pt idx="685">
                  <c:v>0.14498606586829277</c:v>
                </c:pt>
                <c:pt idx="686">
                  <c:v>0.12561559892681395</c:v>
                </c:pt>
                <c:pt idx="687">
                  <c:v>0.13994720703307195</c:v>
                </c:pt>
                <c:pt idx="688">
                  <c:v>0.13764553005359392</c:v>
                </c:pt>
                <c:pt idx="689">
                  <c:v>0.14953861474395902</c:v>
                </c:pt>
                <c:pt idx="690">
                  <c:v>0.13672222287309066</c:v>
                </c:pt>
                <c:pt idx="691">
                  <c:v>0.13545210911532846</c:v>
                </c:pt>
                <c:pt idx="692">
                  <c:v>0.13738349086000146</c:v>
                </c:pt>
                <c:pt idx="693">
                  <c:v>0.14238205727685205</c:v>
                </c:pt>
                <c:pt idx="694">
                  <c:v>0.14238205727685205</c:v>
                </c:pt>
                <c:pt idx="695">
                  <c:v>0.14621363938932186</c:v>
                </c:pt>
                <c:pt idx="696">
                  <c:v>0.14486295548886141</c:v>
                </c:pt>
                <c:pt idx="697">
                  <c:v>0.14157232588893209</c:v>
                </c:pt>
                <c:pt idx="698">
                  <c:v>0.13712162945709683</c:v>
                </c:pt>
                <c:pt idx="699">
                  <c:v>0.14622575469507459</c:v>
                </c:pt>
                <c:pt idx="700">
                  <c:v>0.14350458051385051</c:v>
                </c:pt>
                <c:pt idx="701">
                  <c:v>0.12813101301425134</c:v>
                </c:pt>
                <c:pt idx="702">
                  <c:v>0.12427085966767493</c:v>
                </c:pt>
                <c:pt idx="703">
                  <c:v>0.11900128670976173</c:v>
                </c:pt>
                <c:pt idx="704">
                  <c:v>0.11437797643372272</c:v>
                </c:pt>
                <c:pt idx="705">
                  <c:v>0.12443086061768593</c:v>
                </c:pt>
                <c:pt idx="706">
                  <c:v>0.11729973078520717</c:v>
                </c:pt>
                <c:pt idx="707">
                  <c:v>0.11077581119523339</c:v>
                </c:pt>
                <c:pt idx="708">
                  <c:v>0.10566330589870432</c:v>
                </c:pt>
                <c:pt idx="709">
                  <c:v>0.10906059970226978</c:v>
                </c:pt>
                <c:pt idx="710">
                  <c:v>0.10703591854336114</c:v>
                </c:pt>
                <c:pt idx="711">
                  <c:v>0.10278009803297172</c:v>
                </c:pt>
                <c:pt idx="712">
                  <c:v>0.11159285981488254</c:v>
                </c:pt>
                <c:pt idx="713">
                  <c:v>0.11054102856711367</c:v>
                </c:pt>
                <c:pt idx="714">
                  <c:v>0.10832445532733415</c:v>
                </c:pt>
                <c:pt idx="715">
                  <c:v>0.11315232171687428</c:v>
                </c:pt>
                <c:pt idx="716">
                  <c:v>0.11315232171687428</c:v>
                </c:pt>
                <c:pt idx="717">
                  <c:v>0.10595545534325224</c:v>
                </c:pt>
                <c:pt idx="718">
                  <c:v>0.11077390017446276</c:v>
                </c:pt>
                <c:pt idx="719">
                  <c:v>0.11877746690238167</c:v>
                </c:pt>
                <c:pt idx="720">
                  <c:v>0.12356726003121465</c:v>
                </c:pt>
                <c:pt idx="721">
                  <c:v>0.12953751454669327</c:v>
                </c:pt>
                <c:pt idx="722">
                  <c:v>0.12646953403269245</c:v>
                </c:pt>
                <c:pt idx="723">
                  <c:v>0.12221866547923055</c:v>
                </c:pt>
                <c:pt idx="724">
                  <c:v>0.1086806271582591</c:v>
                </c:pt>
                <c:pt idx="725">
                  <c:v>0.10445417416555358</c:v>
                </c:pt>
                <c:pt idx="726">
                  <c:v>0.10544161242420236</c:v>
                </c:pt>
                <c:pt idx="727">
                  <c:v>0.10444429428066482</c:v>
                </c:pt>
                <c:pt idx="728">
                  <c:v>9.9219144237641665E-2</c:v>
                </c:pt>
                <c:pt idx="729">
                  <c:v>9.6932615953632895E-2</c:v>
                </c:pt>
                <c:pt idx="730">
                  <c:v>9.7852897123312688E-2</c:v>
                </c:pt>
                <c:pt idx="731">
                  <c:v>9.6923408402693423E-2</c:v>
                </c:pt>
                <c:pt idx="732">
                  <c:v>9.292829212202558E-2</c:v>
                </c:pt>
                <c:pt idx="733">
                  <c:v>9.2043159293691668E-2</c:v>
                </c:pt>
                <c:pt idx="734">
                  <c:v>9.2919445066413475E-2</c:v>
                </c:pt>
                <c:pt idx="735">
                  <c:v>8.8559100106411881E-2</c:v>
                </c:pt>
                <c:pt idx="736">
                  <c:v>8.5505892164891462E-2</c:v>
                </c:pt>
                <c:pt idx="737">
                  <c:v>8.853852288108166E-2</c:v>
                </c:pt>
                <c:pt idx="738">
                  <c:v>8.3208216810605529E-2</c:v>
                </c:pt>
                <c:pt idx="739">
                  <c:v>8.8850601956409592E-2</c:v>
                </c:pt>
                <c:pt idx="740">
                  <c:v>8.6347703120004504E-2</c:v>
                </c:pt>
                <c:pt idx="741">
                  <c:v>8.6347703120004504E-2</c:v>
                </c:pt>
                <c:pt idx="742">
                  <c:v>8.6347703120004504E-2</c:v>
                </c:pt>
                <c:pt idx="743">
                  <c:v>8.6347703120004504E-2</c:v>
                </c:pt>
                <c:pt idx="744">
                  <c:v>8.168214105264382E-2</c:v>
                </c:pt>
                <c:pt idx="745">
                  <c:v>8.3357872274752443E-2</c:v>
                </c:pt>
                <c:pt idx="746">
                  <c:v>8.3357872274752443E-2</c:v>
                </c:pt>
                <c:pt idx="747">
                  <c:v>8.2559696642970914E-2</c:v>
                </c:pt>
                <c:pt idx="748">
                  <c:v>8.0484677120115089E-2</c:v>
                </c:pt>
                <c:pt idx="749">
                  <c:v>8.189042670366764E-2</c:v>
                </c:pt>
                <c:pt idx="750">
                  <c:v>8.189042670366764E-2</c:v>
                </c:pt>
                <c:pt idx="751">
                  <c:v>8.2674511066280099E-2</c:v>
                </c:pt>
                <c:pt idx="752">
                  <c:v>8.6177228231659853E-2</c:v>
                </c:pt>
                <c:pt idx="753">
                  <c:v>8.7664164164557579E-2</c:v>
                </c:pt>
                <c:pt idx="754">
                  <c:v>9.1572978065428745E-2</c:v>
                </c:pt>
                <c:pt idx="755">
                  <c:v>8.7156410409909957E-2</c:v>
                </c:pt>
                <c:pt idx="756">
                  <c:v>8.474312359185121E-2</c:v>
                </c:pt>
                <c:pt idx="757">
                  <c:v>8.315149584358883E-2</c:v>
                </c:pt>
                <c:pt idx="758">
                  <c:v>8.0329636609840271E-2</c:v>
                </c:pt>
                <c:pt idx="759">
                  <c:v>8.3471123020951055E-2</c:v>
                </c:pt>
                <c:pt idx="760">
                  <c:v>8.4269637160808708E-2</c:v>
                </c:pt>
                <c:pt idx="761">
                  <c:v>8.1932537629498037E-2</c:v>
                </c:pt>
                <c:pt idx="762">
                  <c:v>7.8344085030626509E-2</c:v>
                </c:pt>
                <c:pt idx="763">
                  <c:v>7.4307497638438025E-2</c:v>
                </c:pt>
                <c:pt idx="764">
                  <c:v>7.2543364540173072E-2</c:v>
                </c:pt>
                <c:pt idx="765">
                  <c:v>8.2257931770903125E-2</c:v>
                </c:pt>
                <c:pt idx="766">
                  <c:v>7.9041850386682322E-2</c:v>
                </c:pt>
                <c:pt idx="767">
                  <c:v>7.4278046818959886E-2</c:v>
                </c:pt>
                <c:pt idx="768">
                  <c:v>7.6287820756161917E-2</c:v>
                </c:pt>
                <c:pt idx="769">
                  <c:v>7.2443571789493677E-2</c:v>
                </c:pt>
                <c:pt idx="770">
                  <c:v>7.2443571789493677E-2</c:v>
                </c:pt>
                <c:pt idx="771">
                  <c:v>7.5571430528837524E-2</c:v>
                </c:pt>
                <c:pt idx="772">
                  <c:v>7.9677906339431392E-2</c:v>
                </c:pt>
                <c:pt idx="773">
                  <c:v>7.7082816488575068E-2</c:v>
                </c:pt>
                <c:pt idx="774">
                  <c:v>7.322740759805102E-2</c:v>
                </c:pt>
                <c:pt idx="775">
                  <c:v>7.322740759805102E-2</c:v>
                </c:pt>
                <c:pt idx="776">
                  <c:v>7.1645359427707334E-2</c:v>
                </c:pt>
                <c:pt idx="777">
                  <c:v>7.1645359427707334E-2</c:v>
                </c:pt>
                <c:pt idx="778">
                  <c:v>6.8725644772621886E-2</c:v>
                </c:pt>
                <c:pt idx="779">
                  <c:v>6.8725644772621886E-2</c:v>
                </c:pt>
                <c:pt idx="780">
                  <c:v>6.3187418790439542E-2</c:v>
                </c:pt>
                <c:pt idx="781">
                  <c:v>6.008107481482361E-2</c:v>
                </c:pt>
                <c:pt idx="782">
                  <c:v>6.008107481482361E-2</c:v>
                </c:pt>
                <c:pt idx="783">
                  <c:v>5.8426946417598824E-2</c:v>
                </c:pt>
                <c:pt idx="784">
                  <c:v>6.0443939790013945E-2</c:v>
                </c:pt>
                <c:pt idx="785">
                  <c:v>7.1951628538442836E-2</c:v>
                </c:pt>
                <c:pt idx="786">
                  <c:v>6.4673268062412026E-2</c:v>
                </c:pt>
                <c:pt idx="787">
                  <c:v>6.5298412567200703E-2</c:v>
                </c:pt>
                <c:pt idx="788">
                  <c:v>6.8457051963387694E-2</c:v>
                </c:pt>
                <c:pt idx="789">
                  <c:v>6.4428774061055183E-2</c:v>
                </c:pt>
                <c:pt idx="790">
                  <c:v>6.2212573324125775E-2</c:v>
                </c:pt>
                <c:pt idx="791">
                  <c:v>7.3818991598421646E-2</c:v>
                </c:pt>
                <c:pt idx="792">
                  <c:v>6.9273671216147581E-2</c:v>
                </c:pt>
                <c:pt idx="793">
                  <c:v>6.6673671490617537E-2</c:v>
                </c:pt>
                <c:pt idx="794">
                  <c:v>6.4772898134595969E-2</c:v>
                </c:pt>
                <c:pt idx="795">
                  <c:v>6.5398971630879488E-2</c:v>
                </c:pt>
                <c:pt idx="796">
                  <c:v>6.8249823726847847E-2</c:v>
                </c:pt>
                <c:pt idx="797">
                  <c:v>7.1377092474954829E-2</c:v>
                </c:pt>
                <c:pt idx="798">
                  <c:v>6.9689171420006968E-2</c:v>
                </c:pt>
                <c:pt idx="799">
                  <c:v>7.4828976401073444E-2</c:v>
                </c:pt>
                <c:pt idx="800">
                  <c:v>7.2600498167361027E-2</c:v>
                </c:pt>
                <c:pt idx="801">
                  <c:v>7.9135760104808495E-2</c:v>
                </c:pt>
                <c:pt idx="802">
                  <c:v>7.9135760104808495E-2</c:v>
                </c:pt>
                <c:pt idx="803">
                  <c:v>8.1416752544412607E-2</c:v>
                </c:pt>
                <c:pt idx="804">
                  <c:v>8.063633511298085E-2</c:v>
                </c:pt>
                <c:pt idx="805">
                  <c:v>8.063633511298085E-2</c:v>
                </c:pt>
                <c:pt idx="806">
                  <c:v>7.0094239995865282E-2</c:v>
                </c:pt>
                <c:pt idx="807">
                  <c:v>7.0769775908254728E-2</c:v>
                </c:pt>
                <c:pt idx="808">
                  <c:v>7.145156904789729E-2</c:v>
                </c:pt>
                <c:pt idx="809">
                  <c:v>6.7699900703036109E-2</c:v>
                </c:pt>
                <c:pt idx="810">
                  <c:v>6.7699900703036109E-2</c:v>
                </c:pt>
                <c:pt idx="811">
                  <c:v>7.144041798380163E-2</c:v>
                </c:pt>
                <c:pt idx="812">
                  <c:v>7.144041798380163E-2</c:v>
                </c:pt>
                <c:pt idx="813">
                  <c:v>7.144041798380163E-2</c:v>
                </c:pt>
                <c:pt idx="814">
                  <c:v>7.2128418118210025E-2</c:v>
                </c:pt>
                <c:pt idx="815">
                  <c:v>7.4179259905891026E-2</c:v>
                </c:pt>
                <c:pt idx="816">
                  <c:v>6.8619804707271137E-2</c:v>
                </c:pt>
                <c:pt idx="817">
                  <c:v>7.3103663058316948E-2</c:v>
                </c:pt>
                <c:pt idx="818">
                  <c:v>7.1369376696158615E-2</c:v>
                </c:pt>
                <c:pt idx="819">
                  <c:v>7.7091828261293127E-2</c:v>
                </c:pt>
                <c:pt idx="820">
                  <c:v>7.7831939391650673E-2</c:v>
                </c:pt>
                <c:pt idx="821">
                  <c:v>8.062875190309593E-2</c:v>
                </c:pt>
                <c:pt idx="822">
                  <c:v>8.1401299044485564E-2</c:v>
                </c:pt>
                <c:pt idx="823">
                  <c:v>7.9882660427658347E-2</c:v>
                </c:pt>
                <c:pt idx="824">
                  <c:v>7.7437489614503918E-2</c:v>
                </c:pt>
                <c:pt idx="825">
                  <c:v>8.2933473318771211E-2</c:v>
                </c:pt>
                <c:pt idx="826">
                  <c:v>9.454127474207541E-2</c:v>
                </c:pt>
                <c:pt idx="827">
                  <c:v>9.0509632842183718E-2</c:v>
                </c:pt>
                <c:pt idx="828">
                  <c:v>8.7918892330110743E-2</c:v>
                </c:pt>
                <c:pt idx="829">
                  <c:v>8.4615693970961137E-2</c:v>
                </c:pt>
                <c:pt idx="830">
                  <c:v>9.7317548614099136E-2</c:v>
                </c:pt>
                <c:pt idx="831">
                  <c:v>0.10125814996859739</c:v>
                </c:pt>
                <c:pt idx="832">
                  <c:v>9.2344844299603657E-2</c:v>
                </c:pt>
                <c:pt idx="833">
                  <c:v>8.6930177773299366E-2</c:v>
                </c:pt>
                <c:pt idx="834">
                  <c:v>8.162450764303919E-2</c:v>
                </c:pt>
                <c:pt idx="835">
                  <c:v>8.305521977089847E-2</c:v>
                </c:pt>
                <c:pt idx="836">
                  <c:v>7.9552526838265081E-2</c:v>
                </c:pt>
                <c:pt idx="837">
                  <c:v>7.8789202408871106E-2</c:v>
                </c:pt>
                <c:pt idx="838">
                  <c:v>7.6501294357175675E-2</c:v>
                </c:pt>
                <c:pt idx="839">
                  <c:v>7.2968721552548965E-2</c:v>
                </c:pt>
                <c:pt idx="840">
                  <c:v>7.045003494890667E-2</c:v>
                </c:pt>
                <c:pt idx="841">
                  <c:v>7.2901555225576509E-2</c:v>
                </c:pt>
                <c:pt idx="842">
                  <c:v>6.9568932545305384E-2</c:v>
                </c:pt>
                <c:pt idx="843">
                  <c:v>7.3173638604445368E-2</c:v>
                </c:pt>
                <c:pt idx="844">
                  <c:v>7.2469084460628608E-2</c:v>
                </c:pt>
                <c:pt idx="845">
                  <c:v>6.8829923684416316E-2</c:v>
                </c:pt>
                <c:pt idx="846">
                  <c:v>6.4490969213599314E-2</c:v>
                </c:pt>
                <c:pt idx="847">
                  <c:v>6.1867962768827889E-2</c:v>
                </c:pt>
                <c:pt idx="848">
                  <c:v>6.3256061048578061E-2</c:v>
                </c:pt>
                <c:pt idx="849">
                  <c:v>6.4706365228705098E-2</c:v>
                </c:pt>
                <c:pt idx="850">
                  <c:v>6.9299117463713311E-2</c:v>
                </c:pt>
                <c:pt idx="851">
                  <c:v>6.9967282118876706E-2</c:v>
                </c:pt>
                <c:pt idx="852">
                  <c:v>7.3743687017438497E-2</c:v>
                </c:pt>
                <c:pt idx="853">
                  <c:v>7.5508557068868165E-2</c:v>
                </c:pt>
                <c:pt idx="854">
                  <c:v>7.1889352357356939E-2</c:v>
                </c:pt>
                <c:pt idx="855">
                  <c:v>6.9559597744074275E-2</c:v>
                </c:pt>
                <c:pt idx="856">
                  <c:v>6.0231553529857651E-2</c:v>
                </c:pt>
                <c:pt idx="857">
                  <c:v>6.0231553529857651E-2</c:v>
                </c:pt>
                <c:pt idx="858">
                  <c:v>5.805729307629659E-2</c:v>
                </c:pt>
                <c:pt idx="859">
                  <c:v>5.5378212013316275E-2</c:v>
                </c:pt>
                <c:pt idx="860">
                  <c:v>5.4839901459465379E-2</c:v>
                </c:pt>
                <c:pt idx="861">
                  <c:v>5.4306671831456321E-2</c:v>
                </c:pt>
                <c:pt idx="862">
                  <c:v>6.0097378551132841E-2</c:v>
                </c:pt>
                <c:pt idx="863">
                  <c:v>6.266794865989489E-2</c:v>
                </c:pt>
                <c:pt idx="864">
                  <c:v>6.5026575940482778E-2</c:v>
                </c:pt>
                <c:pt idx="865">
                  <c:v>6.5026575940482778E-2</c:v>
                </c:pt>
                <c:pt idx="866">
                  <c:v>6.1387240361266304E-2</c:v>
                </c:pt>
                <c:pt idx="867">
                  <c:v>5.3993263614339759E-2</c:v>
                </c:pt>
                <c:pt idx="868">
                  <c:v>5.1490702899553042E-2</c:v>
                </c:pt>
                <c:pt idx="869">
                  <c:v>5.8137118276440525E-2</c:v>
                </c:pt>
                <c:pt idx="870">
                  <c:v>6.1044271356044622E-2</c:v>
                </c:pt>
                <c:pt idx="871">
                  <c:v>6.1044271356044622E-2</c:v>
                </c:pt>
                <c:pt idx="872">
                  <c:v>5.8883069618216211E-2</c:v>
                </c:pt>
                <c:pt idx="873">
                  <c:v>5.661115973205233E-2</c:v>
                </c:pt>
                <c:pt idx="874">
                  <c:v>5.1870562218415794E-2</c:v>
                </c:pt>
                <c:pt idx="875">
                  <c:v>5.1870562218415794E-2</c:v>
                </c:pt>
                <c:pt idx="876">
                  <c:v>4.9069272254403495E-2</c:v>
                </c:pt>
                <c:pt idx="877">
                  <c:v>5.3914506615736491E-2</c:v>
                </c:pt>
                <c:pt idx="878">
                  <c:v>5.7704390822710616E-2</c:v>
                </c:pt>
                <c:pt idx="879">
                  <c:v>5.8264289527297897E-2</c:v>
                </c:pt>
                <c:pt idx="880">
                  <c:v>5.3726893266348164E-2</c:v>
                </c:pt>
                <c:pt idx="881">
                  <c:v>4.7961124276696854E-2</c:v>
                </c:pt>
                <c:pt idx="882">
                  <c:v>4.8428930787800306E-2</c:v>
                </c:pt>
                <c:pt idx="883">
                  <c:v>4.8428930787800306E-2</c:v>
                </c:pt>
                <c:pt idx="884">
                  <c:v>4.628415889148374E-2</c:v>
                </c:pt>
                <c:pt idx="885">
                  <c:v>4.583209049688286E-2</c:v>
                </c:pt>
                <c:pt idx="886">
                  <c:v>4.7643308980791166E-2</c:v>
                </c:pt>
                <c:pt idx="887">
                  <c:v>5.2743492485641696E-2</c:v>
                </c:pt>
                <c:pt idx="888">
                  <c:v>5.2743492485641696E-2</c:v>
                </c:pt>
                <c:pt idx="889">
                  <c:v>4.8913849944719701E-2</c:v>
                </c:pt>
                <c:pt idx="890">
                  <c:v>4.6618297068375392E-2</c:v>
                </c:pt>
                <c:pt idx="891">
                  <c:v>4.6163044671967302E-2</c:v>
                </c:pt>
                <c:pt idx="892">
                  <c:v>6.7078847568952438E-2</c:v>
                </c:pt>
                <c:pt idx="893">
                  <c:v>7.3602843312652433E-2</c:v>
                </c:pt>
                <c:pt idx="894">
                  <c:v>0.13431350138421516</c:v>
                </c:pt>
                <c:pt idx="895">
                  <c:v>0.19305111775719086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59-4FFA-BF31-58A87B5E5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105792"/>
        <c:axId val="503115776"/>
      </c:scatterChart>
      <c:scatterChart>
        <c:scatterStyle val="smoothMarker"/>
        <c:varyColors val="0"/>
        <c:ser>
          <c:idx val="1"/>
          <c:order val="1"/>
          <c:tx>
            <c:v>Z-score Macro</c:v>
          </c:tx>
          <c:spPr>
            <a:ln w="44450">
              <a:solidFill>
                <a:srgbClr val="7030A0"/>
              </a:solidFill>
            </a:ln>
          </c:spPr>
          <c:marker>
            <c:symbol val="none"/>
          </c:marker>
          <c:dPt>
            <c:idx val="896"/>
            <c:marker>
              <c:symbol val="circle"/>
              <c:size val="10"/>
              <c:spPr>
                <a:solidFill>
                  <a:srgbClr val="7030A0"/>
                </a:solidFill>
                <a:ln>
                  <a:solidFill>
                    <a:srgbClr val="FFC000"/>
                  </a:solidFill>
                </a:ln>
              </c:spPr>
            </c:marker>
            <c:bubble3D val="0"/>
            <c:spPr>
              <a:ln w="44450">
                <a:solidFill>
                  <a:srgbClr val="7030A0"/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2-9A59-4FFA-BF31-58A87B5E5B7C}"/>
              </c:ext>
            </c:extLst>
          </c:dPt>
          <c:xVal>
            <c:numRef>
              <c:f>HISTORIA!$A$2:$A$898</c:f>
              <c:numCache>
                <c:formatCode>d/mm/yyyy;@</c:formatCode>
                <c:ptCount val="897"/>
                <c:pt idx="0">
                  <c:v>37645</c:v>
                </c:pt>
                <c:pt idx="1">
                  <c:v>37652</c:v>
                </c:pt>
                <c:pt idx="2">
                  <c:v>37659</c:v>
                </c:pt>
                <c:pt idx="3">
                  <c:v>37666</c:v>
                </c:pt>
                <c:pt idx="4">
                  <c:v>37673</c:v>
                </c:pt>
                <c:pt idx="5">
                  <c:v>37680</c:v>
                </c:pt>
                <c:pt idx="6">
                  <c:v>37687</c:v>
                </c:pt>
                <c:pt idx="7">
                  <c:v>37694</c:v>
                </c:pt>
                <c:pt idx="8">
                  <c:v>37701</c:v>
                </c:pt>
                <c:pt idx="9">
                  <c:v>37708</c:v>
                </c:pt>
                <c:pt idx="10">
                  <c:v>37715</c:v>
                </c:pt>
                <c:pt idx="11">
                  <c:v>37722</c:v>
                </c:pt>
                <c:pt idx="12">
                  <c:v>37729</c:v>
                </c:pt>
                <c:pt idx="13">
                  <c:v>37736</c:v>
                </c:pt>
                <c:pt idx="14">
                  <c:v>37743</c:v>
                </c:pt>
                <c:pt idx="15">
                  <c:v>37750</c:v>
                </c:pt>
                <c:pt idx="16">
                  <c:v>37757</c:v>
                </c:pt>
                <c:pt idx="17">
                  <c:v>37764</c:v>
                </c:pt>
                <c:pt idx="18">
                  <c:v>37771</c:v>
                </c:pt>
                <c:pt idx="19">
                  <c:v>37778</c:v>
                </c:pt>
                <c:pt idx="20">
                  <c:v>37785</c:v>
                </c:pt>
                <c:pt idx="21">
                  <c:v>37792</c:v>
                </c:pt>
                <c:pt idx="22">
                  <c:v>37799</c:v>
                </c:pt>
                <c:pt idx="23">
                  <c:v>37806</c:v>
                </c:pt>
                <c:pt idx="24">
                  <c:v>37813</c:v>
                </c:pt>
                <c:pt idx="25">
                  <c:v>37820</c:v>
                </c:pt>
                <c:pt idx="26">
                  <c:v>37827</c:v>
                </c:pt>
                <c:pt idx="27">
                  <c:v>37834</c:v>
                </c:pt>
                <c:pt idx="28">
                  <c:v>37841</c:v>
                </c:pt>
                <c:pt idx="29">
                  <c:v>37848</c:v>
                </c:pt>
                <c:pt idx="30">
                  <c:v>37855</c:v>
                </c:pt>
                <c:pt idx="31">
                  <c:v>37862</c:v>
                </c:pt>
                <c:pt idx="32">
                  <c:v>37869</c:v>
                </c:pt>
                <c:pt idx="33">
                  <c:v>37876</c:v>
                </c:pt>
                <c:pt idx="34">
                  <c:v>37883</c:v>
                </c:pt>
                <c:pt idx="35">
                  <c:v>37890</c:v>
                </c:pt>
                <c:pt idx="36">
                  <c:v>37897</c:v>
                </c:pt>
                <c:pt idx="37">
                  <c:v>37904</c:v>
                </c:pt>
                <c:pt idx="38">
                  <c:v>37911</c:v>
                </c:pt>
                <c:pt idx="39">
                  <c:v>37918</c:v>
                </c:pt>
                <c:pt idx="40">
                  <c:v>37925</c:v>
                </c:pt>
                <c:pt idx="41">
                  <c:v>37932</c:v>
                </c:pt>
                <c:pt idx="42">
                  <c:v>37939</c:v>
                </c:pt>
                <c:pt idx="43">
                  <c:v>37946</c:v>
                </c:pt>
                <c:pt idx="44">
                  <c:v>37953</c:v>
                </c:pt>
                <c:pt idx="45">
                  <c:v>37960</c:v>
                </c:pt>
                <c:pt idx="46">
                  <c:v>37967</c:v>
                </c:pt>
                <c:pt idx="47">
                  <c:v>37974</c:v>
                </c:pt>
                <c:pt idx="48">
                  <c:v>37981</c:v>
                </c:pt>
                <c:pt idx="49">
                  <c:v>37988</c:v>
                </c:pt>
                <c:pt idx="50">
                  <c:v>37995</c:v>
                </c:pt>
                <c:pt idx="51">
                  <c:v>38002</c:v>
                </c:pt>
                <c:pt idx="52">
                  <c:v>38009</c:v>
                </c:pt>
                <c:pt idx="53">
                  <c:v>38016</c:v>
                </c:pt>
                <c:pt idx="54">
                  <c:v>38023</c:v>
                </c:pt>
                <c:pt idx="55">
                  <c:v>38030</c:v>
                </c:pt>
                <c:pt idx="56">
                  <c:v>38037</c:v>
                </c:pt>
                <c:pt idx="57">
                  <c:v>38044</c:v>
                </c:pt>
                <c:pt idx="58">
                  <c:v>38051</c:v>
                </c:pt>
                <c:pt idx="59">
                  <c:v>38058</c:v>
                </c:pt>
                <c:pt idx="60">
                  <c:v>38065</c:v>
                </c:pt>
                <c:pt idx="61">
                  <c:v>38072</c:v>
                </c:pt>
                <c:pt idx="62">
                  <c:v>38079</c:v>
                </c:pt>
                <c:pt idx="63">
                  <c:v>38086</c:v>
                </c:pt>
                <c:pt idx="64">
                  <c:v>38093</c:v>
                </c:pt>
                <c:pt idx="65">
                  <c:v>38100</c:v>
                </c:pt>
                <c:pt idx="66">
                  <c:v>38107</c:v>
                </c:pt>
                <c:pt idx="67">
                  <c:v>38114</c:v>
                </c:pt>
                <c:pt idx="68">
                  <c:v>38121</c:v>
                </c:pt>
                <c:pt idx="69">
                  <c:v>38128</c:v>
                </c:pt>
                <c:pt idx="70">
                  <c:v>38135</c:v>
                </c:pt>
                <c:pt idx="71">
                  <c:v>38142</c:v>
                </c:pt>
                <c:pt idx="72">
                  <c:v>38149</c:v>
                </c:pt>
                <c:pt idx="73">
                  <c:v>38156</c:v>
                </c:pt>
                <c:pt idx="74">
                  <c:v>38163</c:v>
                </c:pt>
                <c:pt idx="75">
                  <c:v>38170</c:v>
                </c:pt>
                <c:pt idx="76">
                  <c:v>38177</c:v>
                </c:pt>
                <c:pt idx="77">
                  <c:v>38184</c:v>
                </c:pt>
                <c:pt idx="78">
                  <c:v>38191</c:v>
                </c:pt>
                <c:pt idx="79">
                  <c:v>38198</c:v>
                </c:pt>
                <c:pt idx="80">
                  <c:v>38205</c:v>
                </c:pt>
                <c:pt idx="81">
                  <c:v>38212</c:v>
                </c:pt>
                <c:pt idx="82">
                  <c:v>38219</c:v>
                </c:pt>
                <c:pt idx="83">
                  <c:v>38226</c:v>
                </c:pt>
                <c:pt idx="84">
                  <c:v>38233</c:v>
                </c:pt>
                <c:pt idx="85">
                  <c:v>38240</c:v>
                </c:pt>
                <c:pt idx="86">
                  <c:v>38247</c:v>
                </c:pt>
                <c:pt idx="87">
                  <c:v>38254</c:v>
                </c:pt>
                <c:pt idx="88">
                  <c:v>38261</c:v>
                </c:pt>
                <c:pt idx="89">
                  <c:v>38268</c:v>
                </c:pt>
                <c:pt idx="90">
                  <c:v>38275</c:v>
                </c:pt>
                <c:pt idx="91">
                  <c:v>38282</c:v>
                </c:pt>
                <c:pt idx="92">
                  <c:v>38289</c:v>
                </c:pt>
                <c:pt idx="93">
                  <c:v>38296</c:v>
                </c:pt>
                <c:pt idx="94">
                  <c:v>38303</c:v>
                </c:pt>
                <c:pt idx="95">
                  <c:v>38310</c:v>
                </c:pt>
                <c:pt idx="96">
                  <c:v>38317</c:v>
                </c:pt>
                <c:pt idx="97">
                  <c:v>38324</c:v>
                </c:pt>
                <c:pt idx="98">
                  <c:v>38331</c:v>
                </c:pt>
                <c:pt idx="99">
                  <c:v>38338</c:v>
                </c:pt>
                <c:pt idx="100">
                  <c:v>38345</c:v>
                </c:pt>
                <c:pt idx="101">
                  <c:v>38352</c:v>
                </c:pt>
                <c:pt idx="102">
                  <c:v>38359</c:v>
                </c:pt>
                <c:pt idx="103">
                  <c:v>38366</c:v>
                </c:pt>
                <c:pt idx="104">
                  <c:v>38373</c:v>
                </c:pt>
                <c:pt idx="105">
                  <c:v>38380</c:v>
                </c:pt>
                <c:pt idx="106">
                  <c:v>38387</c:v>
                </c:pt>
                <c:pt idx="107">
                  <c:v>38394</c:v>
                </c:pt>
                <c:pt idx="108">
                  <c:v>38401</c:v>
                </c:pt>
                <c:pt idx="109">
                  <c:v>38408</c:v>
                </c:pt>
                <c:pt idx="110">
                  <c:v>38415</c:v>
                </c:pt>
                <c:pt idx="111">
                  <c:v>38422</c:v>
                </c:pt>
                <c:pt idx="112">
                  <c:v>38429</c:v>
                </c:pt>
                <c:pt idx="113">
                  <c:v>38436</c:v>
                </c:pt>
                <c:pt idx="114">
                  <c:v>38443</c:v>
                </c:pt>
                <c:pt idx="115">
                  <c:v>38450</c:v>
                </c:pt>
                <c:pt idx="116">
                  <c:v>38457</c:v>
                </c:pt>
                <c:pt idx="117">
                  <c:v>38464</c:v>
                </c:pt>
                <c:pt idx="118">
                  <c:v>38471</c:v>
                </c:pt>
                <c:pt idx="119">
                  <c:v>38478</c:v>
                </c:pt>
                <c:pt idx="120">
                  <c:v>38485</c:v>
                </c:pt>
                <c:pt idx="121">
                  <c:v>38492</c:v>
                </c:pt>
                <c:pt idx="122">
                  <c:v>38499</c:v>
                </c:pt>
                <c:pt idx="123">
                  <c:v>38506</c:v>
                </c:pt>
                <c:pt idx="124">
                  <c:v>38513</c:v>
                </c:pt>
                <c:pt idx="125">
                  <c:v>38520</c:v>
                </c:pt>
                <c:pt idx="126">
                  <c:v>38527</c:v>
                </c:pt>
                <c:pt idx="127">
                  <c:v>38534</c:v>
                </c:pt>
                <c:pt idx="128">
                  <c:v>38541</c:v>
                </c:pt>
                <c:pt idx="129">
                  <c:v>38548</c:v>
                </c:pt>
                <c:pt idx="130">
                  <c:v>38555</c:v>
                </c:pt>
                <c:pt idx="131">
                  <c:v>38562</c:v>
                </c:pt>
                <c:pt idx="132">
                  <c:v>38569</c:v>
                </c:pt>
                <c:pt idx="133">
                  <c:v>38576</c:v>
                </c:pt>
                <c:pt idx="134">
                  <c:v>38583</c:v>
                </c:pt>
                <c:pt idx="135">
                  <c:v>38590</c:v>
                </c:pt>
                <c:pt idx="136">
                  <c:v>38597</c:v>
                </c:pt>
                <c:pt idx="137">
                  <c:v>38604</c:v>
                </c:pt>
                <c:pt idx="138">
                  <c:v>38611</c:v>
                </c:pt>
                <c:pt idx="139">
                  <c:v>38618</c:v>
                </c:pt>
                <c:pt idx="140">
                  <c:v>38625</c:v>
                </c:pt>
                <c:pt idx="141">
                  <c:v>38632</c:v>
                </c:pt>
                <c:pt idx="142">
                  <c:v>38639</c:v>
                </c:pt>
                <c:pt idx="143">
                  <c:v>38646</c:v>
                </c:pt>
                <c:pt idx="144">
                  <c:v>38653</c:v>
                </c:pt>
                <c:pt idx="145">
                  <c:v>38660</c:v>
                </c:pt>
                <c:pt idx="146">
                  <c:v>38667</c:v>
                </c:pt>
                <c:pt idx="147">
                  <c:v>38674</c:v>
                </c:pt>
                <c:pt idx="148">
                  <c:v>38681</c:v>
                </c:pt>
                <c:pt idx="149">
                  <c:v>38688</c:v>
                </c:pt>
                <c:pt idx="150">
                  <c:v>38695</c:v>
                </c:pt>
                <c:pt idx="151">
                  <c:v>38702</c:v>
                </c:pt>
                <c:pt idx="152">
                  <c:v>38709</c:v>
                </c:pt>
                <c:pt idx="153">
                  <c:v>38716</c:v>
                </c:pt>
                <c:pt idx="154">
                  <c:v>38723</c:v>
                </c:pt>
                <c:pt idx="155">
                  <c:v>38730</c:v>
                </c:pt>
                <c:pt idx="156">
                  <c:v>38737</c:v>
                </c:pt>
                <c:pt idx="157">
                  <c:v>38744</c:v>
                </c:pt>
                <c:pt idx="158">
                  <c:v>38751</c:v>
                </c:pt>
                <c:pt idx="159">
                  <c:v>38758</c:v>
                </c:pt>
                <c:pt idx="160">
                  <c:v>38765</c:v>
                </c:pt>
                <c:pt idx="161">
                  <c:v>38772</c:v>
                </c:pt>
                <c:pt idx="162">
                  <c:v>38779</c:v>
                </c:pt>
                <c:pt idx="163">
                  <c:v>38786</c:v>
                </c:pt>
                <c:pt idx="164">
                  <c:v>38793</c:v>
                </c:pt>
                <c:pt idx="165">
                  <c:v>38800</c:v>
                </c:pt>
                <c:pt idx="166">
                  <c:v>38807</c:v>
                </c:pt>
                <c:pt idx="167">
                  <c:v>38814</c:v>
                </c:pt>
                <c:pt idx="168">
                  <c:v>38821</c:v>
                </c:pt>
                <c:pt idx="169">
                  <c:v>38828</c:v>
                </c:pt>
                <c:pt idx="170">
                  <c:v>38835</c:v>
                </c:pt>
                <c:pt idx="171">
                  <c:v>38842</c:v>
                </c:pt>
                <c:pt idx="172">
                  <c:v>38849</c:v>
                </c:pt>
                <c:pt idx="173">
                  <c:v>38856</c:v>
                </c:pt>
                <c:pt idx="174">
                  <c:v>38863</c:v>
                </c:pt>
                <c:pt idx="175">
                  <c:v>38870</c:v>
                </c:pt>
                <c:pt idx="176">
                  <c:v>38877</c:v>
                </c:pt>
                <c:pt idx="177">
                  <c:v>38884</c:v>
                </c:pt>
                <c:pt idx="178">
                  <c:v>38891</c:v>
                </c:pt>
                <c:pt idx="179">
                  <c:v>38898</c:v>
                </c:pt>
                <c:pt idx="180">
                  <c:v>38905</c:v>
                </c:pt>
                <c:pt idx="181">
                  <c:v>38912</c:v>
                </c:pt>
                <c:pt idx="182">
                  <c:v>38919</c:v>
                </c:pt>
                <c:pt idx="183">
                  <c:v>38926</c:v>
                </c:pt>
                <c:pt idx="184">
                  <c:v>38933</c:v>
                </c:pt>
                <c:pt idx="185">
                  <c:v>38940</c:v>
                </c:pt>
                <c:pt idx="186">
                  <c:v>38947</c:v>
                </c:pt>
                <c:pt idx="187">
                  <c:v>38954</c:v>
                </c:pt>
                <c:pt idx="188">
                  <c:v>38961</c:v>
                </c:pt>
                <c:pt idx="189">
                  <c:v>38968</c:v>
                </c:pt>
                <c:pt idx="190">
                  <c:v>38975</c:v>
                </c:pt>
                <c:pt idx="191">
                  <c:v>38982</c:v>
                </c:pt>
                <c:pt idx="192">
                  <c:v>38989</c:v>
                </c:pt>
                <c:pt idx="193">
                  <c:v>38996</c:v>
                </c:pt>
                <c:pt idx="194">
                  <c:v>39003</c:v>
                </c:pt>
                <c:pt idx="195">
                  <c:v>39010</c:v>
                </c:pt>
                <c:pt idx="196">
                  <c:v>39017</c:v>
                </c:pt>
                <c:pt idx="197">
                  <c:v>39024</c:v>
                </c:pt>
                <c:pt idx="198">
                  <c:v>39031</c:v>
                </c:pt>
                <c:pt idx="199">
                  <c:v>39038</c:v>
                </c:pt>
                <c:pt idx="200">
                  <c:v>39045</c:v>
                </c:pt>
                <c:pt idx="201">
                  <c:v>39052</c:v>
                </c:pt>
                <c:pt idx="202">
                  <c:v>39059</c:v>
                </c:pt>
                <c:pt idx="203">
                  <c:v>39066</c:v>
                </c:pt>
                <c:pt idx="204">
                  <c:v>39073</c:v>
                </c:pt>
                <c:pt idx="205">
                  <c:v>39080</c:v>
                </c:pt>
                <c:pt idx="206">
                  <c:v>39087</c:v>
                </c:pt>
                <c:pt idx="207">
                  <c:v>39094</c:v>
                </c:pt>
                <c:pt idx="208">
                  <c:v>39101</c:v>
                </c:pt>
                <c:pt idx="209">
                  <c:v>39108</c:v>
                </c:pt>
                <c:pt idx="210">
                  <c:v>39115</c:v>
                </c:pt>
                <c:pt idx="211">
                  <c:v>39122</c:v>
                </c:pt>
                <c:pt idx="212">
                  <c:v>39129</c:v>
                </c:pt>
                <c:pt idx="213">
                  <c:v>39136</c:v>
                </c:pt>
                <c:pt idx="214">
                  <c:v>39143</c:v>
                </c:pt>
                <c:pt idx="215">
                  <c:v>39150</c:v>
                </c:pt>
                <c:pt idx="216">
                  <c:v>39157</c:v>
                </c:pt>
                <c:pt idx="217">
                  <c:v>39164</c:v>
                </c:pt>
                <c:pt idx="218">
                  <c:v>39171</c:v>
                </c:pt>
                <c:pt idx="219">
                  <c:v>39178</c:v>
                </c:pt>
                <c:pt idx="220">
                  <c:v>39185</c:v>
                </c:pt>
                <c:pt idx="221">
                  <c:v>39192</c:v>
                </c:pt>
                <c:pt idx="222">
                  <c:v>39199</c:v>
                </c:pt>
                <c:pt idx="223">
                  <c:v>39206</c:v>
                </c:pt>
                <c:pt idx="224">
                  <c:v>39213</c:v>
                </c:pt>
                <c:pt idx="225">
                  <c:v>39220</c:v>
                </c:pt>
                <c:pt idx="226">
                  <c:v>39227</c:v>
                </c:pt>
                <c:pt idx="227">
                  <c:v>39234</c:v>
                </c:pt>
                <c:pt idx="228">
                  <c:v>39241</c:v>
                </c:pt>
                <c:pt idx="229">
                  <c:v>39248</c:v>
                </c:pt>
                <c:pt idx="230">
                  <c:v>39255</c:v>
                </c:pt>
                <c:pt idx="231">
                  <c:v>39262</c:v>
                </c:pt>
                <c:pt idx="232">
                  <c:v>39269</c:v>
                </c:pt>
                <c:pt idx="233">
                  <c:v>39276</c:v>
                </c:pt>
                <c:pt idx="234">
                  <c:v>39283</c:v>
                </c:pt>
                <c:pt idx="235">
                  <c:v>39290</c:v>
                </c:pt>
                <c:pt idx="236">
                  <c:v>39297</c:v>
                </c:pt>
                <c:pt idx="237">
                  <c:v>39304</c:v>
                </c:pt>
                <c:pt idx="238">
                  <c:v>39311</c:v>
                </c:pt>
                <c:pt idx="239">
                  <c:v>39318</c:v>
                </c:pt>
                <c:pt idx="240">
                  <c:v>39325</c:v>
                </c:pt>
                <c:pt idx="241">
                  <c:v>39332</c:v>
                </c:pt>
                <c:pt idx="242">
                  <c:v>39339</c:v>
                </c:pt>
                <c:pt idx="243">
                  <c:v>39346</c:v>
                </c:pt>
                <c:pt idx="244">
                  <c:v>39353</c:v>
                </c:pt>
                <c:pt idx="245">
                  <c:v>39360</c:v>
                </c:pt>
                <c:pt idx="246">
                  <c:v>39367</c:v>
                </c:pt>
                <c:pt idx="247">
                  <c:v>39374</c:v>
                </c:pt>
                <c:pt idx="248">
                  <c:v>39381</c:v>
                </c:pt>
                <c:pt idx="249">
                  <c:v>39388</c:v>
                </c:pt>
                <c:pt idx="250">
                  <c:v>39395</c:v>
                </c:pt>
                <c:pt idx="251">
                  <c:v>39402</c:v>
                </c:pt>
                <c:pt idx="252">
                  <c:v>39409</c:v>
                </c:pt>
                <c:pt idx="253">
                  <c:v>39416</c:v>
                </c:pt>
                <c:pt idx="254">
                  <c:v>39423</c:v>
                </c:pt>
                <c:pt idx="255">
                  <c:v>39430</c:v>
                </c:pt>
                <c:pt idx="256">
                  <c:v>39437</c:v>
                </c:pt>
                <c:pt idx="257">
                  <c:v>39444</c:v>
                </c:pt>
                <c:pt idx="258">
                  <c:v>39451</c:v>
                </c:pt>
                <c:pt idx="259">
                  <c:v>39458</c:v>
                </c:pt>
                <c:pt idx="260">
                  <c:v>39465</c:v>
                </c:pt>
                <c:pt idx="261">
                  <c:v>39472</c:v>
                </c:pt>
                <c:pt idx="262">
                  <c:v>39479</c:v>
                </c:pt>
                <c:pt idx="263">
                  <c:v>39486</c:v>
                </c:pt>
                <c:pt idx="264">
                  <c:v>39493</c:v>
                </c:pt>
                <c:pt idx="265">
                  <c:v>39500</c:v>
                </c:pt>
                <c:pt idx="266">
                  <c:v>39507</c:v>
                </c:pt>
                <c:pt idx="267">
                  <c:v>39514</c:v>
                </c:pt>
                <c:pt idx="268">
                  <c:v>39521</c:v>
                </c:pt>
                <c:pt idx="269">
                  <c:v>39528</c:v>
                </c:pt>
                <c:pt idx="270">
                  <c:v>39535</c:v>
                </c:pt>
                <c:pt idx="271">
                  <c:v>39542</c:v>
                </c:pt>
                <c:pt idx="272">
                  <c:v>39549</c:v>
                </c:pt>
                <c:pt idx="273">
                  <c:v>39556</c:v>
                </c:pt>
                <c:pt idx="274">
                  <c:v>39563</c:v>
                </c:pt>
                <c:pt idx="275">
                  <c:v>39570</c:v>
                </c:pt>
                <c:pt idx="276">
                  <c:v>39577</c:v>
                </c:pt>
                <c:pt idx="277">
                  <c:v>39584</c:v>
                </c:pt>
                <c:pt idx="278">
                  <c:v>39591</c:v>
                </c:pt>
                <c:pt idx="279">
                  <c:v>39598</c:v>
                </c:pt>
                <c:pt idx="280">
                  <c:v>39605</c:v>
                </c:pt>
                <c:pt idx="281">
                  <c:v>39612</c:v>
                </c:pt>
                <c:pt idx="282">
                  <c:v>39619</c:v>
                </c:pt>
                <c:pt idx="283">
                  <c:v>39626</c:v>
                </c:pt>
                <c:pt idx="284">
                  <c:v>39633</c:v>
                </c:pt>
                <c:pt idx="285">
                  <c:v>39640</c:v>
                </c:pt>
                <c:pt idx="286">
                  <c:v>39647</c:v>
                </c:pt>
                <c:pt idx="287">
                  <c:v>39654</c:v>
                </c:pt>
                <c:pt idx="288">
                  <c:v>39661</c:v>
                </c:pt>
                <c:pt idx="289">
                  <c:v>39668</c:v>
                </c:pt>
                <c:pt idx="290">
                  <c:v>39675</c:v>
                </c:pt>
                <c:pt idx="291">
                  <c:v>39682</c:v>
                </c:pt>
                <c:pt idx="292">
                  <c:v>39689</c:v>
                </c:pt>
                <c:pt idx="293">
                  <c:v>39696</c:v>
                </c:pt>
                <c:pt idx="294">
                  <c:v>39703</c:v>
                </c:pt>
                <c:pt idx="295">
                  <c:v>39710</c:v>
                </c:pt>
                <c:pt idx="296">
                  <c:v>39717</c:v>
                </c:pt>
                <c:pt idx="297">
                  <c:v>39724</c:v>
                </c:pt>
                <c:pt idx="298">
                  <c:v>39731</c:v>
                </c:pt>
                <c:pt idx="299">
                  <c:v>39738</c:v>
                </c:pt>
                <c:pt idx="300">
                  <c:v>39745</c:v>
                </c:pt>
                <c:pt idx="301">
                  <c:v>39752</c:v>
                </c:pt>
                <c:pt idx="302">
                  <c:v>39759</c:v>
                </c:pt>
                <c:pt idx="303">
                  <c:v>39766</c:v>
                </c:pt>
                <c:pt idx="304">
                  <c:v>39773</c:v>
                </c:pt>
                <c:pt idx="305">
                  <c:v>39780</c:v>
                </c:pt>
                <c:pt idx="306">
                  <c:v>39787</c:v>
                </c:pt>
                <c:pt idx="307">
                  <c:v>39794</c:v>
                </c:pt>
                <c:pt idx="308">
                  <c:v>39801</c:v>
                </c:pt>
                <c:pt idx="309">
                  <c:v>39808</c:v>
                </c:pt>
                <c:pt idx="310">
                  <c:v>39815</c:v>
                </c:pt>
                <c:pt idx="311">
                  <c:v>39822</c:v>
                </c:pt>
                <c:pt idx="312">
                  <c:v>39829</c:v>
                </c:pt>
                <c:pt idx="313">
                  <c:v>39836</c:v>
                </c:pt>
                <c:pt idx="314">
                  <c:v>39843</c:v>
                </c:pt>
                <c:pt idx="315">
                  <c:v>39850</c:v>
                </c:pt>
                <c:pt idx="316">
                  <c:v>39857</c:v>
                </c:pt>
                <c:pt idx="317">
                  <c:v>39864</c:v>
                </c:pt>
                <c:pt idx="318">
                  <c:v>39871</c:v>
                </c:pt>
                <c:pt idx="319">
                  <c:v>39878</c:v>
                </c:pt>
                <c:pt idx="320">
                  <c:v>39885</c:v>
                </c:pt>
                <c:pt idx="321">
                  <c:v>39892</c:v>
                </c:pt>
                <c:pt idx="322">
                  <c:v>39899</c:v>
                </c:pt>
                <c:pt idx="323">
                  <c:v>39906</c:v>
                </c:pt>
                <c:pt idx="324">
                  <c:v>39913</c:v>
                </c:pt>
                <c:pt idx="325">
                  <c:v>39920</c:v>
                </c:pt>
                <c:pt idx="326">
                  <c:v>39927</c:v>
                </c:pt>
                <c:pt idx="327">
                  <c:v>39934</c:v>
                </c:pt>
                <c:pt idx="328">
                  <c:v>39941</c:v>
                </c:pt>
                <c:pt idx="329">
                  <c:v>39948</c:v>
                </c:pt>
                <c:pt idx="330">
                  <c:v>39955</c:v>
                </c:pt>
                <c:pt idx="331">
                  <c:v>39962</c:v>
                </c:pt>
                <c:pt idx="332">
                  <c:v>39969</c:v>
                </c:pt>
                <c:pt idx="333">
                  <c:v>39976</c:v>
                </c:pt>
                <c:pt idx="334">
                  <c:v>39983</c:v>
                </c:pt>
                <c:pt idx="335">
                  <c:v>39990</c:v>
                </c:pt>
                <c:pt idx="336">
                  <c:v>39997</c:v>
                </c:pt>
                <c:pt idx="337">
                  <c:v>40004</c:v>
                </c:pt>
                <c:pt idx="338">
                  <c:v>40011</c:v>
                </c:pt>
                <c:pt idx="339">
                  <c:v>40018</c:v>
                </c:pt>
                <c:pt idx="340">
                  <c:v>40025</c:v>
                </c:pt>
                <c:pt idx="341">
                  <c:v>40032</c:v>
                </c:pt>
                <c:pt idx="342">
                  <c:v>40039</c:v>
                </c:pt>
                <c:pt idx="343">
                  <c:v>40046</c:v>
                </c:pt>
                <c:pt idx="344">
                  <c:v>40053</c:v>
                </c:pt>
                <c:pt idx="345">
                  <c:v>40060</c:v>
                </c:pt>
                <c:pt idx="346">
                  <c:v>40067</c:v>
                </c:pt>
                <c:pt idx="347">
                  <c:v>40074</c:v>
                </c:pt>
                <c:pt idx="348">
                  <c:v>40081</c:v>
                </c:pt>
                <c:pt idx="349">
                  <c:v>40088</c:v>
                </c:pt>
                <c:pt idx="350">
                  <c:v>40095</c:v>
                </c:pt>
                <c:pt idx="351">
                  <c:v>40102</c:v>
                </c:pt>
                <c:pt idx="352">
                  <c:v>40109</c:v>
                </c:pt>
                <c:pt idx="353">
                  <c:v>40116</c:v>
                </c:pt>
                <c:pt idx="354">
                  <c:v>40123</c:v>
                </c:pt>
                <c:pt idx="355">
                  <c:v>40130</c:v>
                </c:pt>
                <c:pt idx="356">
                  <c:v>40137</c:v>
                </c:pt>
                <c:pt idx="357">
                  <c:v>40144</c:v>
                </c:pt>
                <c:pt idx="358">
                  <c:v>40151</c:v>
                </c:pt>
                <c:pt idx="359">
                  <c:v>40158</c:v>
                </c:pt>
                <c:pt idx="360">
                  <c:v>40165</c:v>
                </c:pt>
                <c:pt idx="361">
                  <c:v>40172</c:v>
                </c:pt>
                <c:pt idx="362">
                  <c:v>40179</c:v>
                </c:pt>
                <c:pt idx="363">
                  <c:v>40186</c:v>
                </c:pt>
                <c:pt idx="364">
                  <c:v>40193</c:v>
                </c:pt>
                <c:pt idx="365">
                  <c:v>40200</c:v>
                </c:pt>
                <c:pt idx="366">
                  <c:v>40207</c:v>
                </c:pt>
                <c:pt idx="367">
                  <c:v>40214</c:v>
                </c:pt>
                <c:pt idx="368">
                  <c:v>40221</c:v>
                </c:pt>
                <c:pt idx="369">
                  <c:v>40228</c:v>
                </c:pt>
                <c:pt idx="370">
                  <c:v>40235</c:v>
                </c:pt>
                <c:pt idx="371">
                  <c:v>40242</c:v>
                </c:pt>
                <c:pt idx="372">
                  <c:v>40249</c:v>
                </c:pt>
                <c:pt idx="373">
                  <c:v>40256</c:v>
                </c:pt>
                <c:pt idx="374">
                  <c:v>40263</c:v>
                </c:pt>
                <c:pt idx="375">
                  <c:v>40270</c:v>
                </c:pt>
                <c:pt idx="376">
                  <c:v>40277</c:v>
                </c:pt>
                <c:pt idx="377">
                  <c:v>40284</c:v>
                </c:pt>
                <c:pt idx="378">
                  <c:v>40291</c:v>
                </c:pt>
                <c:pt idx="379">
                  <c:v>40298</c:v>
                </c:pt>
                <c:pt idx="380">
                  <c:v>40305</c:v>
                </c:pt>
                <c:pt idx="381">
                  <c:v>40312</c:v>
                </c:pt>
                <c:pt idx="382">
                  <c:v>40319</c:v>
                </c:pt>
                <c:pt idx="383">
                  <c:v>40326</c:v>
                </c:pt>
                <c:pt idx="384">
                  <c:v>40333</c:v>
                </c:pt>
                <c:pt idx="385">
                  <c:v>40340</c:v>
                </c:pt>
                <c:pt idx="386">
                  <c:v>40347</c:v>
                </c:pt>
                <c:pt idx="387">
                  <c:v>40354</c:v>
                </c:pt>
                <c:pt idx="388">
                  <c:v>40361</c:v>
                </c:pt>
                <c:pt idx="389">
                  <c:v>40368</c:v>
                </c:pt>
                <c:pt idx="390">
                  <c:v>40375</c:v>
                </c:pt>
                <c:pt idx="391">
                  <c:v>40382</c:v>
                </c:pt>
                <c:pt idx="392">
                  <c:v>40389</c:v>
                </c:pt>
                <c:pt idx="393">
                  <c:v>40396</c:v>
                </c:pt>
                <c:pt idx="394">
                  <c:v>40403</c:v>
                </c:pt>
                <c:pt idx="395">
                  <c:v>40410</c:v>
                </c:pt>
                <c:pt idx="396">
                  <c:v>40417</c:v>
                </c:pt>
                <c:pt idx="397">
                  <c:v>40424</c:v>
                </c:pt>
                <c:pt idx="398">
                  <c:v>40431</c:v>
                </c:pt>
                <c:pt idx="399">
                  <c:v>40438</c:v>
                </c:pt>
                <c:pt idx="400">
                  <c:v>40445</c:v>
                </c:pt>
                <c:pt idx="401">
                  <c:v>40452</c:v>
                </c:pt>
                <c:pt idx="402">
                  <c:v>40459</c:v>
                </c:pt>
                <c:pt idx="403">
                  <c:v>40466</c:v>
                </c:pt>
                <c:pt idx="404">
                  <c:v>40473</c:v>
                </c:pt>
                <c:pt idx="405">
                  <c:v>40480</c:v>
                </c:pt>
                <c:pt idx="406">
                  <c:v>40487</c:v>
                </c:pt>
                <c:pt idx="407">
                  <c:v>40494</c:v>
                </c:pt>
                <c:pt idx="408">
                  <c:v>40501</c:v>
                </c:pt>
                <c:pt idx="409">
                  <c:v>40508</c:v>
                </c:pt>
                <c:pt idx="410">
                  <c:v>40515</c:v>
                </c:pt>
                <c:pt idx="411">
                  <c:v>40522</c:v>
                </c:pt>
                <c:pt idx="412">
                  <c:v>40529</c:v>
                </c:pt>
                <c:pt idx="413">
                  <c:v>40536</c:v>
                </c:pt>
                <c:pt idx="414">
                  <c:v>40543</c:v>
                </c:pt>
                <c:pt idx="415">
                  <c:v>40550</c:v>
                </c:pt>
                <c:pt idx="416">
                  <c:v>40557</c:v>
                </c:pt>
                <c:pt idx="417">
                  <c:v>40564</c:v>
                </c:pt>
                <c:pt idx="418">
                  <c:v>40571</c:v>
                </c:pt>
                <c:pt idx="419">
                  <c:v>40578</c:v>
                </c:pt>
                <c:pt idx="420">
                  <c:v>40585</c:v>
                </c:pt>
                <c:pt idx="421">
                  <c:v>40592</c:v>
                </c:pt>
                <c:pt idx="422">
                  <c:v>40599</c:v>
                </c:pt>
                <c:pt idx="423">
                  <c:v>40606</c:v>
                </c:pt>
                <c:pt idx="424">
                  <c:v>40613</c:v>
                </c:pt>
                <c:pt idx="425">
                  <c:v>40620</c:v>
                </c:pt>
                <c:pt idx="426">
                  <c:v>40627</c:v>
                </c:pt>
                <c:pt idx="427">
                  <c:v>40634</c:v>
                </c:pt>
                <c:pt idx="428">
                  <c:v>40641</c:v>
                </c:pt>
                <c:pt idx="429">
                  <c:v>40648</c:v>
                </c:pt>
                <c:pt idx="430">
                  <c:v>40655</c:v>
                </c:pt>
                <c:pt idx="431">
                  <c:v>40662</c:v>
                </c:pt>
                <c:pt idx="432">
                  <c:v>40669</c:v>
                </c:pt>
                <c:pt idx="433">
                  <c:v>40676</c:v>
                </c:pt>
                <c:pt idx="434">
                  <c:v>40683</c:v>
                </c:pt>
                <c:pt idx="435">
                  <c:v>40690</c:v>
                </c:pt>
                <c:pt idx="436">
                  <c:v>40697</c:v>
                </c:pt>
                <c:pt idx="437">
                  <c:v>40704</c:v>
                </c:pt>
                <c:pt idx="438">
                  <c:v>40711</c:v>
                </c:pt>
                <c:pt idx="439">
                  <c:v>40718</c:v>
                </c:pt>
                <c:pt idx="440">
                  <c:v>40725</c:v>
                </c:pt>
                <c:pt idx="441">
                  <c:v>40732</c:v>
                </c:pt>
                <c:pt idx="442">
                  <c:v>40739</c:v>
                </c:pt>
                <c:pt idx="443">
                  <c:v>40746</c:v>
                </c:pt>
                <c:pt idx="444">
                  <c:v>40753</c:v>
                </c:pt>
                <c:pt idx="445">
                  <c:v>40760</c:v>
                </c:pt>
                <c:pt idx="446">
                  <c:v>40767</c:v>
                </c:pt>
                <c:pt idx="447">
                  <c:v>40774</c:v>
                </c:pt>
                <c:pt idx="448">
                  <c:v>40781</c:v>
                </c:pt>
                <c:pt idx="449">
                  <c:v>40788</c:v>
                </c:pt>
                <c:pt idx="450">
                  <c:v>40795</c:v>
                </c:pt>
                <c:pt idx="451">
                  <c:v>40802</c:v>
                </c:pt>
                <c:pt idx="452">
                  <c:v>40809</c:v>
                </c:pt>
                <c:pt idx="453">
                  <c:v>40816</c:v>
                </c:pt>
                <c:pt idx="454">
                  <c:v>40823</c:v>
                </c:pt>
                <c:pt idx="455">
                  <c:v>40830</c:v>
                </c:pt>
                <c:pt idx="456">
                  <c:v>40837</c:v>
                </c:pt>
                <c:pt idx="457">
                  <c:v>40844</c:v>
                </c:pt>
                <c:pt idx="458">
                  <c:v>40851</c:v>
                </c:pt>
                <c:pt idx="459">
                  <c:v>40858</c:v>
                </c:pt>
                <c:pt idx="460">
                  <c:v>40865</c:v>
                </c:pt>
                <c:pt idx="461">
                  <c:v>40872</c:v>
                </c:pt>
                <c:pt idx="462">
                  <c:v>40879</c:v>
                </c:pt>
                <c:pt idx="463">
                  <c:v>40886</c:v>
                </c:pt>
                <c:pt idx="464">
                  <c:v>40893</c:v>
                </c:pt>
                <c:pt idx="465">
                  <c:v>40900</c:v>
                </c:pt>
                <c:pt idx="466">
                  <c:v>40907</c:v>
                </c:pt>
                <c:pt idx="467">
                  <c:v>40914</c:v>
                </c:pt>
                <c:pt idx="468">
                  <c:v>40921</c:v>
                </c:pt>
                <c:pt idx="469">
                  <c:v>40928</c:v>
                </c:pt>
                <c:pt idx="470">
                  <c:v>40935</c:v>
                </c:pt>
                <c:pt idx="471">
                  <c:v>40942</c:v>
                </c:pt>
                <c:pt idx="472">
                  <c:v>40949</c:v>
                </c:pt>
                <c:pt idx="473">
                  <c:v>40956</c:v>
                </c:pt>
                <c:pt idx="474">
                  <c:v>40963</c:v>
                </c:pt>
                <c:pt idx="475">
                  <c:v>40970</c:v>
                </c:pt>
                <c:pt idx="476">
                  <c:v>40977</c:v>
                </c:pt>
                <c:pt idx="477">
                  <c:v>40984</c:v>
                </c:pt>
                <c:pt idx="478">
                  <c:v>40991</c:v>
                </c:pt>
                <c:pt idx="479">
                  <c:v>40998</c:v>
                </c:pt>
                <c:pt idx="480">
                  <c:v>41005</c:v>
                </c:pt>
                <c:pt idx="481">
                  <c:v>41012</c:v>
                </c:pt>
                <c:pt idx="482">
                  <c:v>41019</c:v>
                </c:pt>
                <c:pt idx="483">
                  <c:v>41026</c:v>
                </c:pt>
                <c:pt idx="484">
                  <c:v>41033</c:v>
                </c:pt>
                <c:pt idx="485">
                  <c:v>41040</c:v>
                </c:pt>
                <c:pt idx="486">
                  <c:v>41047</c:v>
                </c:pt>
                <c:pt idx="487">
                  <c:v>41054</c:v>
                </c:pt>
                <c:pt idx="488">
                  <c:v>41061</c:v>
                </c:pt>
                <c:pt idx="489">
                  <c:v>41068</c:v>
                </c:pt>
                <c:pt idx="490">
                  <c:v>41075</c:v>
                </c:pt>
                <c:pt idx="491">
                  <c:v>41082</c:v>
                </c:pt>
                <c:pt idx="492">
                  <c:v>41089</c:v>
                </c:pt>
                <c:pt idx="493">
                  <c:v>41096</c:v>
                </c:pt>
                <c:pt idx="494">
                  <c:v>41103</c:v>
                </c:pt>
                <c:pt idx="495">
                  <c:v>41110</c:v>
                </c:pt>
                <c:pt idx="496">
                  <c:v>41117</c:v>
                </c:pt>
                <c:pt idx="497">
                  <c:v>41124</c:v>
                </c:pt>
                <c:pt idx="498">
                  <c:v>41131</c:v>
                </c:pt>
                <c:pt idx="499">
                  <c:v>41138</c:v>
                </c:pt>
                <c:pt idx="500">
                  <c:v>41145</c:v>
                </c:pt>
                <c:pt idx="501">
                  <c:v>41152</c:v>
                </c:pt>
                <c:pt idx="502">
                  <c:v>41159</c:v>
                </c:pt>
                <c:pt idx="503">
                  <c:v>41166</c:v>
                </c:pt>
                <c:pt idx="504">
                  <c:v>41173</c:v>
                </c:pt>
                <c:pt idx="505">
                  <c:v>41180</c:v>
                </c:pt>
                <c:pt idx="506">
                  <c:v>41187</c:v>
                </c:pt>
                <c:pt idx="507">
                  <c:v>41194</c:v>
                </c:pt>
                <c:pt idx="508">
                  <c:v>41201</c:v>
                </c:pt>
                <c:pt idx="509">
                  <c:v>41208</c:v>
                </c:pt>
                <c:pt idx="510">
                  <c:v>41215</c:v>
                </c:pt>
                <c:pt idx="511">
                  <c:v>41222</c:v>
                </c:pt>
                <c:pt idx="512">
                  <c:v>41229</c:v>
                </c:pt>
                <c:pt idx="513">
                  <c:v>41236</c:v>
                </c:pt>
                <c:pt idx="514">
                  <c:v>41243</c:v>
                </c:pt>
                <c:pt idx="515">
                  <c:v>41250</c:v>
                </c:pt>
                <c:pt idx="516">
                  <c:v>41257</c:v>
                </c:pt>
                <c:pt idx="517">
                  <c:v>41264</c:v>
                </c:pt>
                <c:pt idx="518">
                  <c:v>41271</c:v>
                </c:pt>
                <c:pt idx="519">
                  <c:v>41278</c:v>
                </c:pt>
                <c:pt idx="520">
                  <c:v>41285</c:v>
                </c:pt>
                <c:pt idx="521">
                  <c:v>41292</c:v>
                </c:pt>
                <c:pt idx="522">
                  <c:v>41299</c:v>
                </c:pt>
                <c:pt idx="523">
                  <c:v>41306</c:v>
                </c:pt>
                <c:pt idx="524">
                  <c:v>41313</c:v>
                </c:pt>
                <c:pt idx="525">
                  <c:v>41320</c:v>
                </c:pt>
                <c:pt idx="526">
                  <c:v>41327</c:v>
                </c:pt>
                <c:pt idx="527">
                  <c:v>41334</c:v>
                </c:pt>
                <c:pt idx="528">
                  <c:v>41341</c:v>
                </c:pt>
                <c:pt idx="529">
                  <c:v>41348</c:v>
                </c:pt>
                <c:pt idx="530">
                  <c:v>41355</c:v>
                </c:pt>
                <c:pt idx="531">
                  <c:v>41362</c:v>
                </c:pt>
                <c:pt idx="532">
                  <c:v>41369</c:v>
                </c:pt>
                <c:pt idx="533">
                  <c:v>41376</c:v>
                </c:pt>
                <c:pt idx="534">
                  <c:v>41383</c:v>
                </c:pt>
                <c:pt idx="535">
                  <c:v>41390</c:v>
                </c:pt>
                <c:pt idx="536">
                  <c:v>41397</c:v>
                </c:pt>
                <c:pt idx="537">
                  <c:v>41404</c:v>
                </c:pt>
                <c:pt idx="538">
                  <c:v>41411</c:v>
                </c:pt>
                <c:pt idx="539">
                  <c:v>41418</c:v>
                </c:pt>
                <c:pt idx="540">
                  <c:v>41425</c:v>
                </c:pt>
                <c:pt idx="541">
                  <c:v>41432</c:v>
                </c:pt>
                <c:pt idx="542">
                  <c:v>41439</c:v>
                </c:pt>
                <c:pt idx="543">
                  <c:v>41446</c:v>
                </c:pt>
                <c:pt idx="544">
                  <c:v>41453</c:v>
                </c:pt>
                <c:pt idx="545">
                  <c:v>41460</c:v>
                </c:pt>
                <c:pt idx="546">
                  <c:v>41467</c:v>
                </c:pt>
                <c:pt idx="547">
                  <c:v>41474</c:v>
                </c:pt>
                <c:pt idx="548">
                  <c:v>41481</c:v>
                </c:pt>
                <c:pt idx="549">
                  <c:v>41488</c:v>
                </c:pt>
                <c:pt idx="550">
                  <c:v>41495</c:v>
                </c:pt>
                <c:pt idx="551">
                  <c:v>41502</c:v>
                </c:pt>
                <c:pt idx="552">
                  <c:v>41509</c:v>
                </c:pt>
                <c:pt idx="553">
                  <c:v>41516</c:v>
                </c:pt>
                <c:pt idx="554">
                  <c:v>41523</c:v>
                </c:pt>
                <c:pt idx="555">
                  <c:v>41530</c:v>
                </c:pt>
                <c:pt idx="556">
                  <c:v>41537</c:v>
                </c:pt>
                <c:pt idx="557">
                  <c:v>41544</c:v>
                </c:pt>
                <c:pt idx="558">
                  <c:v>41551</c:v>
                </c:pt>
                <c:pt idx="559">
                  <c:v>41558</c:v>
                </c:pt>
                <c:pt idx="560">
                  <c:v>41565</c:v>
                </c:pt>
                <c:pt idx="561">
                  <c:v>41572</c:v>
                </c:pt>
                <c:pt idx="562">
                  <c:v>41579</c:v>
                </c:pt>
                <c:pt idx="563">
                  <c:v>41586</c:v>
                </c:pt>
                <c:pt idx="564">
                  <c:v>41593</c:v>
                </c:pt>
                <c:pt idx="565">
                  <c:v>41600</c:v>
                </c:pt>
                <c:pt idx="566">
                  <c:v>41607</c:v>
                </c:pt>
                <c:pt idx="567">
                  <c:v>41614</c:v>
                </c:pt>
                <c:pt idx="568">
                  <c:v>41621</c:v>
                </c:pt>
                <c:pt idx="569">
                  <c:v>41628</c:v>
                </c:pt>
                <c:pt idx="570">
                  <c:v>41635</c:v>
                </c:pt>
                <c:pt idx="571">
                  <c:v>41642</c:v>
                </c:pt>
                <c:pt idx="572">
                  <c:v>41649</c:v>
                </c:pt>
                <c:pt idx="573">
                  <c:v>41656</c:v>
                </c:pt>
                <c:pt idx="574">
                  <c:v>41663</c:v>
                </c:pt>
                <c:pt idx="575">
                  <c:v>41670</c:v>
                </c:pt>
                <c:pt idx="576">
                  <c:v>41677</c:v>
                </c:pt>
                <c:pt idx="577">
                  <c:v>41684</c:v>
                </c:pt>
                <c:pt idx="578">
                  <c:v>41691</c:v>
                </c:pt>
                <c:pt idx="579">
                  <c:v>41698</c:v>
                </c:pt>
                <c:pt idx="580">
                  <c:v>41705</c:v>
                </c:pt>
                <c:pt idx="581">
                  <c:v>41712</c:v>
                </c:pt>
                <c:pt idx="582">
                  <c:v>41719</c:v>
                </c:pt>
                <c:pt idx="583">
                  <c:v>41726</c:v>
                </c:pt>
                <c:pt idx="584">
                  <c:v>41733</c:v>
                </c:pt>
                <c:pt idx="585">
                  <c:v>41740</c:v>
                </c:pt>
                <c:pt idx="586">
                  <c:v>41747</c:v>
                </c:pt>
                <c:pt idx="587">
                  <c:v>41754</c:v>
                </c:pt>
                <c:pt idx="588">
                  <c:v>41761</c:v>
                </c:pt>
                <c:pt idx="589">
                  <c:v>41768</c:v>
                </c:pt>
                <c:pt idx="590">
                  <c:v>41775</c:v>
                </c:pt>
                <c:pt idx="591">
                  <c:v>41782</c:v>
                </c:pt>
                <c:pt idx="592">
                  <c:v>41789</c:v>
                </c:pt>
                <c:pt idx="593">
                  <c:v>41796</c:v>
                </c:pt>
                <c:pt idx="594">
                  <c:v>41803</c:v>
                </c:pt>
                <c:pt idx="595">
                  <c:v>41810</c:v>
                </c:pt>
                <c:pt idx="596">
                  <c:v>41817</c:v>
                </c:pt>
                <c:pt idx="597">
                  <c:v>41824</c:v>
                </c:pt>
                <c:pt idx="598">
                  <c:v>41831</c:v>
                </c:pt>
                <c:pt idx="599">
                  <c:v>41838</c:v>
                </c:pt>
                <c:pt idx="600">
                  <c:v>41845</c:v>
                </c:pt>
                <c:pt idx="601">
                  <c:v>41852</c:v>
                </c:pt>
                <c:pt idx="602">
                  <c:v>41859</c:v>
                </c:pt>
                <c:pt idx="603">
                  <c:v>41866</c:v>
                </c:pt>
                <c:pt idx="604">
                  <c:v>41873</c:v>
                </c:pt>
                <c:pt idx="605">
                  <c:v>41880</c:v>
                </c:pt>
                <c:pt idx="606">
                  <c:v>41887</c:v>
                </c:pt>
                <c:pt idx="607">
                  <c:v>41894</c:v>
                </c:pt>
                <c:pt idx="608">
                  <c:v>41901</c:v>
                </c:pt>
                <c:pt idx="609">
                  <c:v>41908</c:v>
                </c:pt>
                <c:pt idx="610">
                  <c:v>41915</c:v>
                </c:pt>
                <c:pt idx="611">
                  <c:v>41922</c:v>
                </c:pt>
                <c:pt idx="612">
                  <c:v>41929</c:v>
                </c:pt>
                <c:pt idx="613">
                  <c:v>41936</c:v>
                </c:pt>
                <c:pt idx="614">
                  <c:v>41943</c:v>
                </c:pt>
                <c:pt idx="615">
                  <c:v>41950</c:v>
                </c:pt>
                <c:pt idx="616">
                  <c:v>41957</c:v>
                </c:pt>
                <c:pt idx="617">
                  <c:v>41964</c:v>
                </c:pt>
                <c:pt idx="618">
                  <c:v>41971</c:v>
                </c:pt>
                <c:pt idx="619">
                  <c:v>41978</c:v>
                </c:pt>
                <c:pt idx="620">
                  <c:v>41985</c:v>
                </c:pt>
                <c:pt idx="621">
                  <c:v>41992</c:v>
                </c:pt>
                <c:pt idx="622">
                  <c:v>41999</c:v>
                </c:pt>
                <c:pt idx="623">
                  <c:v>42006</c:v>
                </c:pt>
                <c:pt idx="624">
                  <c:v>42013</c:v>
                </c:pt>
                <c:pt idx="625">
                  <c:v>42020</c:v>
                </c:pt>
                <c:pt idx="626">
                  <c:v>42027</c:v>
                </c:pt>
                <c:pt idx="627">
                  <c:v>42034</c:v>
                </c:pt>
                <c:pt idx="628">
                  <c:v>42041</c:v>
                </c:pt>
                <c:pt idx="629">
                  <c:v>42048</c:v>
                </c:pt>
                <c:pt idx="630">
                  <c:v>42055</c:v>
                </c:pt>
                <c:pt idx="631">
                  <c:v>42062</c:v>
                </c:pt>
                <c:pt idx="632">
                  <c:v>42069</c:v>
                </c:pt>
                <c:pt idx="633">
                  <c:v>42076</c:v>
                </c:pt>
                <c:pt idx="634">
                  <c:v>42083</c:v>
                </c:pt>
                <c:pt idx="635">
                  <c:v>42090</c:v>
                </c:pt>
                <c:pt idx="636">
                  <c:v>42097</c:v>
                </c:pt>
                <c:pt idx="637">
                  <c:v>42104</c:v>
                </c:pt>
                <c:pt idx="638">
                  <c:v>42111</c:v>
                </c:pt>
                <c:pt idx="639">
                  <c:v>42118</c:v>
                </c:pt>
                <c:pt idx="640">
                  <c:v>42125</c:v>
                </c:pt>
                <c:pt idx="641">
                  <c:v>42132</c:v>
                </c:pt>
                <c:pt idx="642">
                  <c:v>42139</c:v>
                </c:pt>
                <c:pt idx="643">
                  <c:v>42146</c:v>
                </c:pt>
                <c:pt idx="644">
                  <c:v>42153</c:v>
                </c:pt>
                <c:pt idx="645">
                  <c:v>42160</c:v>
                </c:pt>
                <c:pt idx="646">
                  <c:v>42167</c:v>
                </c:pt>
                <c:pt idx="647">
                  <c:v>42174</c:v>
                </c:pt>
                <c:pt idx="648">
                  <c:v>42181</c:v>
                </c:pt>
                <c:pt idx="649">
                  <c:v>42188</c:v>
                </c:pt>
                <c:pt idx="650">
                  <c:v>42195</c:v>
                </c:pt>
                <c:pt idx="651">
                  <c:v>42202</c:v>
                </c:pt>
                <c:pt idx="652">
                  <c:v>42209</c:v>
                </c:pt>
                <c:pt idx="653">
                  <c:v>42216</c:v>
                </c:pt>
                <c:pt idx="654">
                  <c:v>42223</c:v>
                </c:pt>
                <c:pt idx="655">
                  <c:v>42230</c:v>
                </c:pt>
                <c:pt idx="656">
                  <c:v>42237</c:v>
                </c:pt>
                <c:pt idx="657">
                  <c:v>42244</c:v>
                </c:pt>
                <c:pt idx="658">
                  <c:v>42251</c:v>
                </c:pt>
                <c:pt idx="659">
                  <c:v>42258</c:v>
                </c:pt>
                <c:pt idx="660">
                  <c:v>42265</c:v>
                </c:pt>
                <c:pt idx="661">
                  <c:v>42272</c:v>
                </c:pt>
                <c:pt idx="662">
                  <c:v>42279</c:v>
                </c:pt>
                <c:pt idx="663">
                  <c:v>42286</c:v>
                </c:pt>
                <c:pt idx="664">
                  <c:v>42293</c:v>
                </c:pt>
                <c:pt idx="665">
                  <c:v>42300</c:v>
                </c:pt>
                <c:pt idx="666">
                  <c:v>42307</c:v>
                </c:pt>
                <c:pt idx="667">
                  <c:v>42314</c:v>
                </c:pt>
                <c:pt idx="668">
                  <c:v>42321</c:v>
                </c:pt>
                <c:pt idx="669">
                  <c:v>42328</c:v>
                </c:pt>
                <c:pt idx="670">
                  <c:v>42335</c:v>
                </c:pt>
                <c:pt idx="671">
                  <c:v>42342</c:v>
                </c:pt>
                <c:pt idx="672">
                  <c:v>42349</c:v>
                </c:pt>
                <c:pt idx="673">
                  <c:v>42356</c:v>
                </c:pt>
                <c:pt idx="674">
                  <c:v>42363</c:v>
                </c:pt>
                <c:pt idx="675">
                  <c:v>42370</c:v>
                </c:pt>
                <c:pt idx="676">
                  <c:v>42377</c:v>
                </c:pt>
                <c:pt idx="677">
                  <c:v>42384</c:v>
                </c:pt>
                <c:pt idx="678">
                  <c:v>42391</c:v>
                </c:pt>
                <c:pt idx="679">
                  <c:v>42398</c:v>
                </c:pt>
                <c:pt idx="680">
                  <c:v>42405</c:v>
                </c:pt>
                <c:pt idx="681">
                  <c:v>42412</c:v>
                </c:pt>
                <c:pt idx="682">
                  <c:v>42419</c:v>
                </c:pt>
                <c:pt idx="683">
                  <c:v>42426</c:v>
                </c:pt>
                <c:pt idx="684">
                  <c:v>42433</c:v>
                </c:pt>
                <c:pt idx="685">
                  <c:v>42440</c:v>
                </c:pt>
                <c:pt idx="686">
                  <c:v>42447</c:v>
                </c:pt>
                <c:pt idx="687">
                  <c:v>42454</c:v>
                </c:pt>
                <c:pt idx="688">
                  <c:v>42461</c:v>
                </c:pt>
                <c:pt idx="689">
                  <c:v>42468</c:v>
                </c:pt>
                <c:pt idx="690">
                  <c:v>42475</c:v>
                </c:pt>
                <c:pt idx="691">
                  <c:v>42482</c:v>
                </c:pt>
                <c:pt idx="692">
                  <c:v>42489</c:v>
                </c:pt>
                <c:pt idx="693">
                  <c:v>42496</c:v>
                </c:pt>
                <c:pt idx="694">
                  <c:v>42503</c:v>
                </c:pt>
                <c:pt idx="695">
                  <c:v>42510</c:v>
                </c:pt>
                <c:pt idx="696">
                  <c:v>42517</c:v>
                </c:pt>
                <c:pt idx="697">
                  <c:v>42524</c:v>
                </c:pt>
                <c:pt idx="698">
                  <c:v>42531</c:v>
                </c:pt>
                <c:pt idx="699">
                  <c:v>42538</c:v>
                </c:pt>
                <c:pt idx="700">
                  <c:v>42545</c:v>
                </c:pt>
                <c:pt idx="701">
                  <c:v>42552</c:v>
                </c:pt>
                <c:pt idx="702">
                  <c:v>42559</c:v>
                </c:pt>
                <c:pt idx="703">
                  <c:v>42566</c:v>
                </c:pt>
                <c:pt idx="704">
                  <c:v>42573</c:v>
                </c:pt>
                <c:pt idx="705">
                  <c:v>42580</c:v>
                </c:pt>
                <c:pt idx="706">
                  <c:v>42587</c:v>
                </c:pt>
                <c:pt idx="707">
                  <c:v>42594</c:v>
                </c:pt>
                <c:pt idx="708">
                  <c:v>42601</c:v>
                </c:pt>
                <c:pt idx="709">
                  <c:v>42608</c:v>
                </c:pt>
                <c:pt idx="710">
                  <c:v>42615</c:v>
                </c:pt>
                <c:pt idx="711">
                  <c:v>42622</c:v>
                </c:pt>
                <c:pt idx="712">
                  <c:v>42629</c:v>
                </c:pt>
                <c:pt idx="713">
                  <c:v>42636</c:v>
                </c:pt>
                <c:pt idx="714">
                  <c:v>42643</c:v>
                </c:pt>
                <c:pt idx="715">
                  <c:v>42650</c:v>
                </c:pt>
                <c:pt idx="716">
                  <c:v>42657</c:v>
                </c:pt>
                <c:pt idx="717">
                  <c:v>42664</c:v>
                </c:pt>
                <c:pt idx="718">
                  <c:v>42671</c:v>
                </c:pt>
                <c:pt idx="719">
                  <c:v>42678</c:v>
                </c:pt>
                <c:pt idx="720">
                  <c:v>42685</c:v>
                </c:pt>
                <c:pt idx="721">
                  <c:v>42692</c:v>
                </c:pt>
                <c:pt idx="722">
                  <c:v>42699</c:v>
                </c:pt>
                <c:pt idx="723">
                  <c:v>42706</c:v>
                </c:pt>
                <c:pt idx="724">
                  <c:v>42713</c:v>
                </c:pt>
                <c:pt idx="725">
                  <c:v>42720</c:v>
                </c:pt>
                <c:pt idx="726">
                  <c:v>42727</c:v>
                </c:pt>
                <c:pt idx="727">
                  <c:v>42734</c:v>
                </c:pt>
                <c:pt idx="728">
                  <c:v>42741</c:v>
                </c:pt>
                <c:pt idx="729">
                  <c:v>42748</c:v>
                </c:pt>
                <c:pt idx="730">
                  <c:v>42755</c:v>
                </c:pt>
                <c:pt idx="731">
                  <c:v>42762</c:v>
                </c:pt>
                <c:pt idx="732">
                  <c:v>42769</c:v>
                </c:pt>
                <c:pt idx="733">
                  <c:v>42776</c:v>
                </c:pt>
                <c:pt idx="734">
                  <c:v>42783</c:v>
                </c:pt>
                <c:pt idx="735">
                  <c:v>42790</c:v>
                </c:pt>
                <c:pt idx="736">
                  <c:v>42797</c:v>
                </c:pt>
                <c:pt idx="737">
                  <c:v>42804</c:v>
                </c:pt>
                <c:pt idx="738">
                  <c:v>42811</c:v>
                </c:pt>
                <c:pt idx="739">
                  <c:v>42818</c:v>
                </c:pt>
                <c:pt idx="740">
                  <c:v>42825</c:v>
                </c:pt>
                <c:pt idx="741">
                  <c:v>42832</c:v>
                </c:pt>
                <c:pt idx="742">
                  <c:v>42839</c:v>
                </c:pt>
                <c:pt idx="743">
                  <c:v>42846</c:v>
                </c:pt>
                <c:pt idx="744">
                  <c:v>42853</c:v>
                </c:pt>
                <c:pt idx="745">
                  <c:v>42860</c:v>
                </c:pt>
                <c:pt idx="746">
                  <c:v>42867</c:v>
                </c:pt>
                <c:pt idx="747">
                  <c:v>42874</c:v>
                </c:pt>
                <c:pt idx="748">
                  <c:v>42881</c:v>
                </c:pt>
                <c:pt idx="749">
                  <c:v>42888</c:v>
                </c:pt>
                <c:pt idx="750">
                  <c:v>42895</c:v>
                </c:pt>
                <c:pt idx="751">
                  <c:v>42902</c:v>
                </c:pt>
                <c:pt idx="752">
                  <c:v>42909</c:v>
                </c:pt>
                <c:pt idx="753">
                  <c:v>42916</c:v>
                </c:pt>
                <c:pt idx="754">
                  <c:v>42923</c:v>
                </c:pt>
                <c:pt idx="755">
                  <c:v>42930</c:v>
                </c:pt>
                <c:pt idx="756">
                  <c:v>42937</c:v>
                </c:pt>
                <c:pt idx="757">
                  <c:v>42944</c:v>
                </c:pt>
                <c:pt idx="758">
                  <c:v>42951</c:v>
                </c:pt>
                <c:pt idx="759">
                  <c:v>42958</c:v>
                </c:pt>
                <c:pt idx="760">
                  <c:v>42965</c:v>
                </c:pt>
                <c:pt idx="761">
                  <c:v>42972</c:v>
                </c:pt>
                <c:pt idx="762">
                  <c:v>42979</c:v>
                </c:pt>
                <c:pt idx="763">
                  <c:v>42986</c:v>
                </c:pt>
                <c:pt idx="764">
                  <c:v>42993</c:v>
                </c:pt>
                <c:pt idx="765">
                  <c:v>43000</c:v>
                </c:pt>
                <c:pt idx="766">
                  <c:v>43007</c:v>
                </c:pt>
                <c:pt idx="767">
                  <c:v>43014</c:v>
                </c:pt>
                <c:pt idx="768">
                  <c:v>43021</c:v>
                </c:pt>
                <c:pt idx="769">
                  <c:v>43028</c:v>
                </c:pt>
                <c:pt idx="770">
                  <c:v>43035</c:v>
                </c:pt>
                <c:pt idx="771">
                  <c:v>43042</c:v>
                </c:pt>
                <c:pt idx="772">
                  <c:v>43049</c:v>
                </c:pt>
                <c:pt idx="773">
                  <c:v>43056</c:v>
                </c:pt>
                <c:pt idx="774">
                  <c:v>43063</c:v>
                </c:pt>
                <c:pt idx="775">
                  <c:v>43070</c:v>
                </c:pt>
                <c:pt idx="776">
                  <c:v>43077</c:v>
                </c:pt>
                <c:pt idx="777">
                  <c:v>43084</c:v>
                </c:pt>
                <c:pt idx="778">
                  <c:v>43091</c:v>
                </c:pt>
                <c:pt idx="779">
                  <c:v>43098</c:v>
                </c:pt>
                <c:pt idx="780">
                  <c:v>43105</c:v>
                </c:pt>
                <c:pt idx="781">
                  <c:v>43112</c:v>
                </c:pt>
                <c:pt idx="782">
                  <c:v>43119</c:v>
                </c:pt>
                <c:pt idx="783">
                  <c:v>43126</c:v>
                </c:pt>
                <c:pt idx="784">
                  <c:v>43133</c:v>
                </c:pt>
                <c:pt idx="785">
                  <c:v>43140</c:v>
                </c:pt>
                <c:pt idx="786">
                  <c:v>43147</c:v>
                </c:pt>
                <c:pt idx="787">
                  <c:v>43154</c:v>
                </c:pt>
                <c:pt idx="788">
                  <c:v>43161</c:v>
                </c:pt>
                <c:pt idx="789">
                  <c:v>43168</c:v>
                </c:pt>
                <c:pt idx="790">
                  <c:v>43175</c:v>
                </c:pt>
                <c:pt idx="791">
                  <c:v>43182</c:v>
                </c:pt>
                <c:pt idx="792">
                  <c:v>43189</c:v>
                </c:pt>
                <c:pt idx="793">
                  <c:v>43196</c:v>
                </c:pt>
                <c:pt idx="794">
                  <c:v>43203</c:v>
                </c:pt>
                <c:pt idx="795">
                  <c:v>43210</c:v>
                </c:pt>
                <c:pt idx="796">
                  <c:v>43217</c:v>
                </c:pt>
                <c:pt idx="797">
                  <c:v>43224</c:v>
                </c:pt>
                <c:pt idx="798">
                  <c:v>43231</c:v>
                </c:pt>
                <c:pt idx="799">
                  <c:v>43238</c:v>
                </c:pt>
                <c:pt idx="800">
                  <c:v>43245</c:v>
                </c:pt>
                <c:pt idx="801">
                  <c:v>43252</c:v>
                </c:pt>
                <c:pt idx="802">
                  <c:v>43259</c:v>
                </c:pt>
                <c:pt idx="803">
                  <c:v>43266</c:v>
                </c:pt>
                <c:pt idx="804">
                  <c:v>43273</c:v>
                </c:pt>
                <c:pt idx="805">
                  <c:v>43280</c:v>
                </c:pt>
                <c:pt idx="806">
                  <c:v>43287</c:v>
                </c:pt>
                <c:pt idx="807">
                  <c:v>43294</c:v>
                </c:pt>
                <c:pt idx="808">
                  <c:v>43301</c:v>
                </c:pt>
                <c:pt idx="809">
                  <c:v>43308</c:v>
                </c:pt>
                <c:pt idx="810">
                  <c:v>43315</c:v>
                </c:pt>
                <c:pt idx="811">
                  <c:v>43322</c:v>
                </c:pt>
                <c:pt idx="812">
                  <c:v>43329</c:v>
                </c:pt>
                <c:pt idx="813">
                  <c:v>43336</c:v>
                </c:pt>
                <c:pt idx="814">
                  <c:v>43343</c:v>
                </c:pt>
                <c:pt idx="815">
                  <c:v>43350</c:v>
                </c:pt>
                <c:pt idx="816">
                  <c:v>43357</c:v>
                </c:pt>
                <c:pt idx="817">
                  <c:v>43364</c:v>
                </c:pt>
                <c:pt idx="818">
                  <c:v>43371</c:v>
                </c:pt>
                <c:pt idx="819">
                  <c:v>43378</c:v>
                </c:pt>
                <c:pt idx="820">
                  <c:v>43385</c:v>
                </c:pt>
                <c:pt idx="821">
                  <c:v>43392</c:v>
                </c:pt>
                <c:pt idx="822">
                  <c:v>43399</c:v>
                </c:pt>
                <c:pt idx="823">
                  <c:v>43406</c:v>
                </c:pt>
                <c:pt idx="824">
                  <c:v>43413</c:v>
                </c:pt>
                <c:pt idx="825">
                  <c:v>43420</c:v>
                </c:pt>
                <c:pt idx="826">
                  <c:v>43427</c:v>
                </c:pt>
                <c:pt idx="827">
                  <c:v>43434</c:v>
                </c:pt>
                <c:pt idx="828">
                  <c:v>43441</c:v>
                </c:pt>
                <c:pt idx="829">
                  <c:v>43448</c:v>
                </c:pt>
                <c:pt idx="830">
                  <c:v>43455</c:v>
                </c:pt>
                <c:pt idx="831">
                  <c:v>43462</c:v>
                </c:pt>
                <c:pt idx="832">
                  <c:v>43469</c:v>
                </c:pt>
                <c:pt idx="833">
                  <c:v>43476</c:v>
                </c:pt>
                <c:pt idx="834">
                  <c:v>43483</c:v>
                </c:pt>
                <c:pt idx="835">
                  <c:v>43490</c:v>
                </c:pt>
                <c:pt idx="836">
                  <c:v>43497</c:v>
                </c:pt>
                <c:pt idx="837">
                  <c:v>43504</c:v>
                </c:pt>
                <c:pt idx="838">
                  <c:v>43511</c:v>
                </c:pt>
                <c:pt idx="839">
                  <c:v>43518</c:v>
                </c:pt>
                <c:pt idx="840">
                  <c:v>43525</c:v>
                </c:pt>
                <c:pt idx="841">
                  <c:v>43532</c:v>
                </c:pt>
                <c:pt idx="842">
                  <c:v>43539</c:v>
                </c:pt>
                <c:pt idx="843">
                  <c:v>43546</c:v>
                </c:pt>
                <c:pt idx="844">
                  <c:v>43553</c:v>
                </c:pt>
                <c:pt idx="845">
                  <c:v>43560</c:v>
                </c:pt>
                <c:pt idx="846">
                  <c:v>43567</c:v>
                </c:pt>
                <c:pt idx="847">
                  <c:v>43574</c:v>
                </c:pt>
                <c:pt idx="848">
                  <c:v>43581</c:v>
                </c:pt>
                <c:pt idx="849">
                  <c:v>43588</c:v>
                </c:pt>
                <c:pt idx="850">
                  <c:v>43595</c:v>
                </c:pt>
                <c:pt idx="851">
                  <c:v>43602</c:v>
                </c:pt>
                <c:pt idx="852">
                  <c:v>43609</c:v>
                </c:pt>
                <c:pt idx="853">
                  <c:v>43616</c:v>
                </c:pt>
                <c:pt idx="854">
                  <c:v>43623</c:v>
                </c:pt>
                <c:pt idx="855">
                  <c:v>43630</c:v>
                </c:pt>
                <c:pt idx="856">
                  <c:v>43637</c:v>
                </c:pt>
                <c:pt idx="857">
                  <c:v>43644</c:v>
                </c:pt>
                <c:pt idx="858">
                  <c:v>43651</c:v>
                </c:pt>
                <c:pt idx="859">
                  <c:v>43658</c:v>
                </c:pt>
                <c:pt idx="860">
                  <c:v>43665</c:v>
                </c:pt>
                <c:pt idx="861">
                  <c:v>43672</c:v>
                </c:pt>
                <c:pt idx="862">
                  <c:v>43679</c:v>
                </c:pt>
                <c:pt idx="863">
                  <c:v>43686</c:v>
                </c:pt>
                <c:pt idx="864">
                  <c:v>43693</c:v>
                </c:pt>
                <c:pt idx="865">
                  <c:v>43700</c:v>
                </c:pt>
                <c:pt idx="866">
                  <c:v>43707</c:v>
                </c:pt>
                <c:pt idx="867">
                  <c:v>43714</c:v>
                </c:pt>
                <c:pt idx="868">
                  <c:v>43721</c:v>
                </c:pt>
                <c:pt idx="869">
                  <c:v>43728</c:v>
                </c:pt>
                <c:pt idx="870">
                  <c:v>43735</c:v>
                </c:pt>
                <c:pt idx="871">
                  <c:v>43742</c:v>
                </c:pt>
                <c:pt idx="872">
                  <c:v>43749</c:v>
                </c:pt>
                <c:pt idx="873">
                  <c:v>43756</c:v>
                </c:pt>
                <c:pt idx="874">
                  <c:v>43763</c:v>
                </c:pt>
                <c:pt idx="875">
                  <c:v>43770</c:v>
                </c:pt>
                <c:pt idx="876">
                  <c:v>43777</c:v>
                </c:pt>
                <c:pt idx="877">
                  <c:v>43784</c:v>
                </c:pt>
                <c:pt idx="878">
                  <c:v>43791</c:v>
                </c:pt>
                <c:pt idx="879">
                  <c:v>43798</c:v>
                </c:pt>
                <c:pt idx="880">
                  <c:v>43805</c:v>
                </c:pt>
                <c:pt idx="881">
                  <c:v>43812</c:v>
                </c:pt>
                <c:pt idx="882">
                  <c:v>43819</c:v>
                </c:pt>
                <c:pt idx="883">
                  <c:v>43826</c:v>
                </c:pt>
                <c:pt idx="884">
                  <c:v>43833</c:v>
                </c:pt>
                <c:pt idx="885">
                  <c:v>43840</c:v>
                </c:pt>
                <c:pt idx="886">
                  <c:v>43847</c:v>
                </c:pt>
                <c:pt idx="887">
                  <c:v>43854</c:v>
                </c:pt>
                <c:pt idx="888">
                  <c:v>43861</c:v>
                </c:pt>
                <c:pt idx="889">
                  <c:v>43868</c:v>
                </c:pt>
                <c:pt idx="890">
                  <c:v>43875</c:v>
                </c:pt>
                <c:pt idx="891">
                  <c:v>43882</c:v>
                </c:pt>
                <c:pt idx="892">
                  <c:v>43889</c:v>
                </c:pt>
                <c:pt idx="893">
                  <c:v>43896</c:v>
                </c:pt>
                <c:pt idx="894">
                  <c:v>43903</c:v>
                </c:pt>
                <c:pt idx="895">
                  <c:v>43910</c:v>
                </c:pt>
                <c:pt idx="896">
                  <c:v>44009</c:v>
                </c:pt>
              </c:numCache>
            </c:numRef>
          </c:xVal>
          <c:yVal>
            <c:numRef>
              <c:f>HISTORIA!$N$2:$N$898</c:f>
              <c:numCache>
                <c:formatCode>_(* #,##0.00_);_(* \(#,##0.00\);_(* "-"??_);_(@_)</c:formatCode>
                <c:ptCount val="897"/>
                <c:pt idx="0">
                  <c:v>-1.047369426260178</c:v>
                </c:pt>
                <c:pt idx="1">
                  <c:v>-1.047369426260178</c:v>
                </c:pt>
                <c:pt idx="2">
                  <c:v>-1.047369426260178</c:v>
                </c:pt>
                <c:pt idx="3">
                  <c:v>-1.047369426260178</c:v>
                </c:pt>
                <c:pt idx="4">
                  <c:v>-1.047369426260178</c:v>
                </c:pt>
                <c:pt idx="5">
                  <c:v>-1.047369426260178</c:v>
                </c:pt>
                <c:pt idx="6">
                  <c:v>-1.047369426260178</c:v>
                </c:pt>
                <c:pt idx="7">
                  <c:v>-1.047369426260178</c:v>
                </c:pt>
                <c:pt idx="8">
                  <c:v>-1.047369426260178</c:v>
                </c:pt>
                <c:pt idx="9">
                  <c:v>-1.047369426260178</c:v>
                </c:pt>
                <c:pt idx="10">
                  <c:v>-1.0488109238614798</c:v>
                </c:pt>
                <c:pt idx="11">
                  <c:v>-1.0488109238614798</c:v>
                </c:pt>
                <c:pt idx="12">
                  <c:v>-1.0488109238614798</c:v>
                </c:pt>
                <c:pt idx="13">
                  <c:v>-1.0488109238614798</c:v>
                </c:pt>
                <c:pt idx="14">
                  <c:v>-1.0488109238614798</c:v>
                </c:pt>
                <c:pt idx="15">
                  <c:v>-1.0488109238614798</c:v>
                </c:pt>
                <c:pt idx="16">
                  <c:v>-1.0488109238614798</c:v>
                </c:pt>
                <c:pt idx="17">
                  <c:v>-1.0488109238614798</c:v>
                </c:pt>
                <c:pt idx="18">
                  <c:v>-1.0488109238614798</c:v>
                </c:pt>
                <c:pt idx="19">
                  <c:v>-1.0488109238614798</c:v>
                </c:pt>
                <c:pt idx="20">
                  <c:v>-1.0488109238614798</c:v>
                </c:pt>
                <c:pt idx="21">
                  <c:v>-1.0488109238614798</c:v>
                </c:pt>
                <c:pt idx="22">
                  <c:v>-1.0488109238614798</c:v>
                </c:pt>
                <c:pt idx="23">
                  <c:v>-0.53944598091241858</c:v>
                </c:pt>
                <c:pt idx="24">
                  <c:v>-0.53944598091241858</c:v>
                </c:pt>
                <c:pt idx="25">
                  <c:v>-0.53944598091241858</c:v>
                </c:pt>
                <c:pt idx="26">
                  <c:v>-0.53944598091241858</c:v>
                </c:pt>
                <c:pt idx="27">
                  <c:v>-0.53944598091241858</c:v>
                </c:pt>
                <c:pt idx="28">
                  <c:v>-0.53944598091241858</c:v>
                </c:pt>
                <c:pt idx="29">
                  <c:v>-0.53944598091241858</c:v>
                </c:pt>
                <c:pt idx="30">
                  <c:v>-0.53944598091241858</c:v>
                </c:pt>
                <c:pt idx="31">
                  <c:v>-0.53944598091241858</c:v>
                </c:pt>
                <c:pt idx="32">
                  <c:v>-0.53944598091241858</c:v>
                </c:pt>
                <c:pt idx="33">
                  <c:v>-0.53944598091241858</c:v>
                </c:pt>
                <c:pt idx="34">
                  <c:v>-0.53944598091241858</c:v>
                </c:pt>
                <c:pt idx="35">
                  <c:v>-0.53944598091241858</c:v>
                </c:pt>
                <c:pt idx="36">
                  <c:v>-0.47273363129307328</c:v>
                </c:pt>
                <c:pt idx="37">
                  <c:v>-0.47273363129307328</c:v>
                </c:pt>
                <c:pt idx="38">
                  <c:v>-0.47273363129307328</c:v>
                </c:pt>
                <c:pt idx="39">
                  <c:v>-0.47273363129307328</c:v>
                </c:pt>
                <c:pt idx="40">
                  <c:v>-0.47273363129307328</c:v>
                </c:pt>
                <c:pt idx="41">
                  <c:v>-0.47273363129307328</c:v>
                </c:pt>
                <c:pt idx="42">
                  <c:v>-0.47273363129307328</c:v>
                </c:pt>
                <c:pt idx="43">
                  <c:v>-0.47273363129307328</c:v>
                </c:pt>
                <c:pt idx="44">
                  <c:v>-0.47273363129307328</c:v>
                </c:pt>
                <c:pt idx="45">
                  <c:v>-0.47273363129307328</c:v>
                </c:pt>
                <c:pt idx="46">
                  <c:v>-0.47273363129307328</c:v>
                </c:pt>
                <c:pt idx="47">
                  <c:v>-0.47273363129307328</c:v>
                </c:pt>
                <c:pt idx="48">
                  <c:v>-0.47273363129307328</c:v>
                </c:pt>
                <c:pt idx="49">
                  <c:v>-0.20860815343605024</c:v>
                </c:pt>
                <c:pt idx="50">
                  <c:v>-0.20860815343605024</c:v>
                </c:pt>
                <c:pt idx="51">
                  <c:v>-0.20860815343605024</c:v>
                </c:pt>
                <c:pt idx="52">
                  <c:v>-0.20860815343605024</c:v>
                </c:pt>
                <c:pt idx="53">
                  <c:v>-0.20860815343605024</c:v>
                </c:pt>
                <c:pt idx="54">
                  <c:v>-0.20860815343605024</c:v>
                </c:pt>
                <c:pt idx="55">
                  <c:v>-0.20860815343605024</c:v>
                </c:pt>
                <c:pt idx="56">
                  <c:v>-0.20860815343605024</c:v>
                </c:pt>
                <c:pt idx="57">
                  <c:v>-0.20860815343605024</c:v>
                </c:pt>
                <c:pt idx="58">
                  <c:v>-0.20860815343605024</c:v>
                </c:pt>
                <c:pt idx="59">
                  <c:v>-0.20860815343605024</c:v>
                </c:pt>
                <c:pt idx="60">
                  <c:v>-0.20860815343605024</c:v>
                </c:pt>
                <c:pt idx="61">
                  <c:v>-0.20860815343605024</c:v>
                </c:pt>
                <c:pt idx="62">
                  <c:v>-0.17776107152325282</c:v>
                </c:pt>
                <c:pt idx="63">
                  <c:v>-0.17776107152325282</c:v>
                </c:pt>
                <c:pt idx="64">
                  <c:v>-0.17776107152325282</c:v>
                </c:pt>
                <c:pt idx="65">
                  <c:v>-0.17776107152325282</c:v>
                </c:pt>
                <c:pt idx="66">
                  <c:v>-0.17776107152325282</c:v>
                </c:pt>
                <c:pt idx="67">
                  <c:v>-0.17776107152325282</c:v>
                </c:pt>
                <c:pt idx="68">
                  <c:v>-0.17776107152325282</c:v>
                </c:pt>
                <c:pt idx="69">
                  <c:v>-0.17776107152325282</c:v>
                </c:pt>
                <c:pt idx="70">
                  <c:v>-0.17776107152325282</c:v>
                </c:pt>
                <c:pt idx="71">
                  <c:v>-0.17776107152325282</c:v>
                </c:pt>
                <c:pt idx="72">
                  <c:v>-0.17776107152325282</c:v>
                </c:pt>
                <c:pt idx="73">
                  <c:v>-0.17776107152325282</c:v>
                </c:pt>
                <c:pt idx="74">
                  <c:v>-0.17776107152325282</c:v>
                </c:pt>
                <c:pt idx="75">
                  <c:v>-0.30065869323839567</c:v>
                </c:pt>
                <c:pt idx="76">
                  <c:v>-0.30065869323839567</c:v>
                </c:pt>
                <c:pt idx="77">
                  <c:v>-0.30065869323839567</c:v>
                </c:pt>
                <c:pt idx="78">
                  <c:v>-0.30065869323839567</c:v>
                </c:pt>
                <c:pt idx="79">
                  <c:v>-0.30065869323839567</c:v>
                </c:pt>
                <c:pt idx="80">
                  <c:v>-0.30065869323839567</c:v>
                </c:pt>
                <c:pt idx="81">
                  <c:v>-0.30065869323839567</c:v>
                </c:pt>
                <c:pt idx="82">
                  <c:v>-0.30065869323839567</c:v>
                </c:pt>
                <c:pt idx="83">
                  <c:v>-0.30065869323839567</c:v>
                </c:pt>
                <c:pt idx="84">
                  <c:v>-0.30065869323839567</c:v>
                </c:pt>
                <c:pt idx="85">
                  <c:v>-0.30065869323839567</c:v>
                </c:pt>
                <c:pt idx="86">
                  <c:v>-0.30065869323839567</c:v>
                </c:pt>
                <c:pt idx="87">
                  <c:v>-0.30065869323839567</c:v>
                </c:pt>
                <c:pt idx="88">
                  <c:v>-0.15575476355164131</c:v>
                </c:pt>
                <c:pt idx="89">
                  <c:v>-0.15575476355164131</c:v>
                </c:pt>
                <c:pt idx="90">
                  <c:v>-0.15575476355164131</c:v>
                </c:pt>
                <c:pt idx="91">
                  <c:v>-0.15575476355164131</c:v>
                </c:pt>
                <c:pt idx="92">
                  <c:v>-0.15575476355164131</c:v>
                </c:pt>
                <c:pt idx="93">
                  <c:v>-0.15575476355164131</c:v>
                </c:pt>
                <c:pt idx="94">
                  <c:v>-0.15575476355164131</c:v>
                </c:pt>
                <c:pt idx="95">
                  <c:v>-0.15575476355164131</c:v>
                </c:pt>
                <c:pt idx="96">
                  <c:v>-0.15575476355164131</c:v>
                </c:pt>
                <c:pt idx="97">
                  <c:v>-0.15575476355164131</c:v>
                </c:pt>
                <c:pt idx="98">
                  <c:v>-0.15575476355164131</c:v>
                </c:pt>
                <c:pt idx="99">
                  <c:v>-0.15575476355164131</c:v>
                </c:pt>
                <c:pt idx="100">
                  <c:v>-0.15575476355164131</c:v>
                </c:pt>
                <c:pt idx="101">
                  <c:v>0.1447971287893039</c:v>
                </c:pt>
                <c:pt idx="102">
                  <c:v>0.1447971287893039</c:v>
                </c:pt>
                <c:pt idx="103">
                  <c:v>0.1447971287893039</c:v>
                </c:pt>
                <c:pt idx="104">
                  <c:v>0.1447971287893039</c:v>
                </c:pt>
                <c:pt idx="105">
                  <c:v>0.1447971287893039</c:v>
                </c:pt>
                <c:pt idx="106">
                  <c:v>0.1447971287893039</c:v>
                </c:pt>
                <c:pt idx="107">
                  <c:v>0.1447971287893039</c:v>
                </c:pt>
                <c:pt idx="108">
                  <c:v>0.1447971287893039</c:v>
                </c:pt>
                <c:pt idx="109">
                  <c:v>0.1447971287893039</c:v>
                </c:pt>
                <c:pt idx="110">
                  <c:v>0.1447971287893039</c:v>
                </c:pt>
                <c:pt idx="111">
                  <c:v>0.1447971287893039</c:v>
                </c:pt>
                <c:pt idx="112">
                  <c:v>0.1447971287893039</c:v>
                </c:pt>
                <c:pt idx="113">
                  <c:v>0.1447971287893039</c:v>
                </c:pt>
                <c:pt idx="114">
                  <c:v>3.6727328121720915E-3</c:v>
                </c:pt>
                <c:pt idx="115">
                  <c:v>3.6727328121720915E-3</c:v>
                </c:pt>
                <c:pt idx="116">
                  <c:v>3.6727328121720915E-3</c:v>
                </c:pt>
                <c:pt idx="117">
                  <c:v>3.6727328121720915E-3</c:v>
                </c:pt>
                <c:pt idx="118">
                  <c:v>3.6727328121720915E-3</c:v>
                </c:pt>
                <c:pt idx="119">
                  <c:v>3.6727328121720915E-3</c:v>
                </c:pt>
                <c:pt idx="120">
                  <c:v>3.6727328121720915E-3</c:v>
                </c:pt>
                <c:pt idx="121">
                  <c:v>3.6727328121720915E-3</c:v>
                </c:pt>
                <c:pt idx="122">
                  <c:v>3.6727328121720915E-3</c:v>
                </c:pt>
                <c:pt idx="123">
                  <c:v>3.6727328121720915E-3</c:v>
                </c:pt>
                <c:pt idx="124">
                  <c:v>3.6727328121720915E-3</c:v>
                </c:pt>
                <c:pt idx="125">
                  <c:v>3.6727328121720915E-3</c:v>
                </c:pt>
                <c:pt idx="126">
                  <c:v>3.6727328121720915E-3</c:v>
                </c:pt>
                <c:pt idx="127">
                  <c:v>0.27672257443163023</c:v>
                </c:pt>
                <c:pt idx="128">
                  <c:v>0.27672257443163023</c:v>
                </c:pt>
                <c:pt idx="129">
                  <c:v>0.27672257443163023</c:v>
                </c:pt>
                <c:pt idx="130">
                  <c:v>0.27672257443163023</c:v>
                </c:pt>
                <c:pt idx="131">
                  <c:v>0.27672257443163023</c:v>
                </c:pt>
                <c:pt idx="132">
                  <c:v>0.27672257443163023</c:v>
                </c:pt>
                <c:pt idx="133">
                  <c:v>0.27672257443163023</c:v>
                </c:pt>
                <c:pt idx="134">
                  <c:v>0.27672257443163023</c:v>
                </c:pt>
                <c:pt idx="135">
                  <c:v>0.27672257443163023</c:v>
                </c:pt>
                <c:pt idx="136">
                  <c:v>0.27672257443163023</c:v>
                </c:pt>
                <c:pt idx="137">
                  <c:v>0.27672257443163023</c:v>
                </c:pt>
                <c:pt idx="138">
                  <c:v>0.27672257443163023</c:v>
                </c:pt>
                <c:pt idx="139">
                  <c:v>0.27672257443163023</c:v>
                </c:pt>
                <c:pt idx="140">
                  <c:v>0.31662216277026312</c:v>
                </c:pt>
                <c:pt idx="141">
                  <c:v>0.31662216277026312</c:v>
                </c:pt>
                <c:pt idx="142">
                  <c:v>0.31662216277026312</c:v>
                </c:pt>
                <c:pt idx="143">
                  <c:v>0.31662216277026312</c:v>
                </c:pt>
                <c:pt idx="144">
                  <c:v>0.31662216277026312</c:v>
                </c:pt>
                <c:pt idx="145">
                  <c:v>0.31662216277026312</c:v>
                </c:pt>
                <c:pt idx="146">
                  <c:v>0.31662216277026312</c:v>
                </c:pt>
                <c:pt idx="147">
                  <c:v>0.31662216277026312</c:v>
                </c:pt>
                <c:pt idx="148">
                  <c:v>0.31662216277026312</c:v>
                </c:pt>
                <c:pt idx="149">
                  <c:v>0.31662216277026312</c:v>
                </c:pt>
                <c:pt idx="150">
                  <c:v>0.31662216277026312</c:v>
                </c:pt>
                <c:pt idx="151">
                  <c:v>0.31662216277026312</c:v>
                </c:pt>
                <c:pt idx="152">
                  <c:v>0.31662216277026312</c:v>
                </c:pt>
                <c:pt idx="153">
                  <c:v>0.31662216277026312</c:v>
                </c:pt>
                <c:pt idx="154">
                  <c:v>0.27831088933381409</c:v>
                </c:pt>
                <c:pt idx="155">
                  <c:v>0.27831088933381409</c:v>
                </c:pt>
                <c:pt idx="156">
                  <c:v>0.27831088933381409</c:v>
                </c:pt>
                <c:pt idx="157">
                  <c:v>0.27831088933381409</c:v>
                </c:pt>
                <c:pt idx="158">
                  <c:v>0.27831088933381409</c:v>
                </c:pt>
                <c:pt idx="159">
                  <c:v>0.27831088933381409</c:v>
                </c:pt>
                <c:pt idx="160">
                  <c:v>0.27831088933381409</c:v>
                </c:pt>
                <c:pt idx="161">
                  <c:v>0.27831088933381409</c:v>
                </c:pt>
                <c:pt idx="162">
                  <c:v>0.27831088933381409</c:v>
                </c:pt>
                <c:pt idx="163">
                  <c:v>0.27831088933381409</c:v>
                </c:pt>
                <c:pt idx="164">
                  <c:v>0.27831088933381409</c:v>
                </c:pt>
                <c:pt idx="165">
                  <c:v>0.27831088933381409</c:v>
                </c:pt>
                <c:pt idx="166">
                  <c:v>0.35387054698406034</c:v>
                </c:pt>
                <c:pt idx="167">
                  <c:v>0.35387054698406034</c:v>
                </c:pt>
                <c:pt idx="168">
                  <c:v>0.35387054698406034</c:v>
                </c:pt>
                <c:pt idx="169">
                  <c:v>0.35387054698406034</c:v>
                </c:pt>
                <c:pt idx="170">
                  <c:v>0.35387054698406034</c:v>
                </c:pt>
                <c:pt idx="171">
                  <c:v>0.35387054698406034</c:v>
                </c:pt>
                <c:pt idx="172">
                  <c:v>0.35387054698406034</c:v>
                </c:pt>
                <c:pt idx="173">
                  <c:v>0.35387054698406034</c:v>
                </c:pt>
                <c:pt idx="174">
                  <c:v>0.35387054698406034</c:v>
                </c:pt>
                <c:pt idx="175">
                  <c:v>0.35387054698406034</c:v>
                </c:pt>
                <c:pt idx="176">
                  <c:v>0.35387054698406034</c:v>
                </c:pt>
                <c:pt idx="177">
                  <c:v>0.35387054698406034</c:v>
                </c:pt>
                <c:pt idx="178">
                  <c:v>0.35387054698406034</c:v>
                </c:pt>
                <c:pt idx="179">
                  <c:v>0.31285782540293777</c:v>
                </c:pt>
                <c:pt idx="180">
                  <c:v>0.31285782540293777</c:v>
                </c:pt>
                <c:pt idx="181">
                  <c:v>0.31285782540293777</c:v>
                </c:pt>
                <c:pt idx="182">
                  <c:v>0.31285782540293777</c:v>
                </c:pt>
                <c:pt idx="183">
                  <c:v>0.31285782540293777</c:v>
                </c:pt>
                <c:pt idx="184">
                  <c:v>0.31285782540293777</c:v>
                </c:pt>
                <c:pt idx="185">
                  <c:v>0.31285782540293777</c:v>
                </c:pt>
                <c:pt idx="186">
                  <c:v>0.31285782540293777</c:v>
                </c:pt>
                <c:pt idx="187">
                  <c:v>0.31285782540293777</c:v>
                </c:pt>
                <c:pt idx="188">
                  <c:v>0.31285782540293777</c:v>
                </c:pt>
                <c:pt idx="189">
                  <c:v>0.31285782540293777</c:v>
                </c:pt>
                <c:pt idx="190">
                  <c:v>0.31285782540293777</c:v>
                </c:pt>
                <c:pt idx="191">
                  <c:v>0.31285782540293777</c:v>
                </c:pt>
                <c:pt idx="192">
                  <c:v>0.31285782540293777</c:v>
                </c:pt>
                <c:pt idx="193">
                  <c:v>0.40826254543871321</c:v>
                </c:pt>
                <c:pt idx="194">
                  <c:v>0.40826254543871321</c:v>
                </c:pt>
                <c:pt idx="195">
                  <c:v>0.40826254543871321</c:v>
                </c:pt>
                <c:pt idx="196">
                  <c:v>0.40826254543871321</c:v>
                </c:pt>
                <c:pt idx="197">
                  <c:v>0.40826254543871321</c:v>
                </c:pt>
                <c:pt idx="198">
                  <c:v>0.40826254543871321</c:v>
                </c:pt>
                <c:pt idx="199">
                  <c:v>0.40826254543871321</c:v>
                </c:pt>
                <c:pt idx="200">
                  <c:v>0.40826254543871321</c:v>
                </c:pt>
                <c:pt idx="201">
                  <c:v>0.40826254543871321</c:v>
                </c:pt>
                <c:pt idx="202">
                  <c:v>0.40826254543871321</c:v>
                </c:pt>
                <c:pt idx="203">
                  <c:v>0.40826254543871321</c:v>
                </c:pt>
                <c:pt idx="204">
                  <c:v>0.40826254543871321</c:v>
                </c:pt>
                <c:pt idx="205">
                  <c:v>0.40826254543871321</c:v>
                </c:pt>
                <c:pt idx="206">
                  <c:v>0.46545917599275088</c:v>
                </c:pt>
                <c:pt idx="207">
                  <c:v>0.46545917599275088</c:v>
                </c:pt>
                <c:pt idx="208">
                  <c:v>0.46545917599275088</c:v>
                </c:pt>
                <c:pt idx="209">
                  <c:v>0.46545917599275088</c:v>
                </c:pt>
                <c:pt idx="210">
                  <c:v>0.46545917599275088</c:v>
                </c:pt>
                <c:pt idx="211">
                  <c:v>0.46545917599275088</c:v>
                </c:pt>
                <c:pt idx="212">
                  <c:v>0.46545917599275088</c:v>
                </c:pt>
                <c:pt idx="213">
                  <c:v>0.46545917599275088</c:v>
                </c:pt>
                <c:pt idx="214">
                  <c:v>0.46545917599275088</c:v>
                </c:pt>
                <c:pt idx="215">
                  <c:v>0.46545917599275088</c:v>
                </c:pt>
                <c:pt idx="216">
                  <c:v>0.46545917599275088</c:v>
                </c:pt>
                <c:pt idx="217">
                  <c:v>0.46545917599275088</c:v>
                </c:pt>
                <c:pt idx="218">
                  <c:v>0.46545917599275088</c:v>
                </c:pt>
                <c:pt idx="219">
                  <c:v>0.50770687854561669</c:v>
                </c:pt>
                <c:pt idx="220">
                  <c:v>0.50770687854561669</c:v>
                </c:pt>
                <c:pt idx="221">
                  <c:v>0.50770687854561669</c:v>
                </c:pt>
                <c:pt idx="222">
                  <c:v>0.50770687854561669</c:v>
                </c:pt>
                <c:pt idx="223">
                  <c:v>0.50770687854561669</c:v>
                </c:pt>
                <c:pt idx="224">
                  <c:v>0.50770687854561669</c:v>
                </c:pt>
                <c:pt idx="225">
                  <c:v>0.50770687854561669</c:v>
                </c:pt>
                <c:pt idx="226">
                  <c:v>0.50770687854561669</c:v>
                </c:pt>
                <c:pt idx="227">
                  <c:v>0.50770687854561669</c:v>
                </c:pt>
                <c:pt idx="228">
                  <c:v>0.50770687854561669</c:v>
                </c:pt>
                <c:pt idx="229">
                  <c:v>0.50770687854561669</c:v>
                </c:pt>
                <c:pt idx="230">
                  <c:v>0.50770687854561669</c:v>
                </c:pt>
                <c:pt idx="231">
                  <c:v>0.50770687854561669</c:v>
                </c:pt>
                <c:pt idx="232">
                  <c:v>0.55830263099194022</c:v>
                </c:pt>
                <c:pt idx="233">
                  <c:v>0.55830263099194022</c:v>
                </c:pt>
                <c:pt idx="234">
                  <c:v>0.55830263099194022</c:v>
                </c:pt>
                <c:pt idx="235">
                  <c:v>0.55830263099194022</c:v>
                </c:pt>
                <c:pt idx="236">
                  <c:v>0.55830263099194022</c:v>
                </c:pt>
                <c:pt idx="237">
                  <c:v>0.55830263099194022</c:v>
                </c:pt>
                <c:pt idx="238">
                  <c:v>0.55830263099194022</c:v>
                </c:pt>
                <c:pt idx="239">
                  <c:v>0.55830263099194022</c:v>
                </c:pt>
                <c:pt idx="240">
                  <c:v>0.55830263099194022</c:v>
                </c:pt>
                <c:pt idx="241">
                  <c:v>0.55830263099194022</c:v>
                </c:pt>
                <c:pt idx="242">
                  <c:v>0.55830263099194022</c:v>
                </c:pt>
                <c:pt idx="243">
                  <c:v>0.55830263099194022</c:v>
                </c:pt>
                <c:pt idx="244">
                  <c:v>0.55830263099194022</c:v>
                </c:pt>
                <c:pt idx="245">
                  <c:v>0.60936573347937384</c:v>
                </c:pt>
                <c:pt idx="246">
                  <c:v>0.60936573347937384</c:v>
                </c:pt>
                <c:pt idx="247">
                  <c:v>0.60936573347937384</c:v>
                </c:pt>
                <c:pt idx="248">
                  <c:v>0.60936573347937384</c:v>
                </c:pt>
                <c:pt idx="249">
                  <c:v>0.60936573347937384</c:v>
                </c:pt>
                <c:pt idx="250">
                  <c:v>0.60936573347937384</c:v>
                </c:pt>
                <c:pt idx="251">
                  <c:v>0.60936573347937384</c:v>
                </c:pt>
                <c:pt idx="252">
                  <c:v>0.60936573347937384</c:v>
                </c:pt>
                <c:pt idx="253">
                  <c:v>0.60936573347937384</c:v>
                </c:pt>
                <c:pt idx="254">
                  <c:v>0.60936573347937384</c:v>
                </c:pt>
                <c:pt idx="255">
                  <c:v>0.60936573347937384</c:v>
                </c:pt>
                <c:pt idx="256">
                  <c:v>0.60936573347937384</c:v>
                </c:pt>
                <c:pt idx="257">
                  <c:v>0.60936573347937384</c:v>
                </c:pt>
                <c:pt idx="258">
                  <c:v>0.51609733746131947</c:v>
                </c:pt>
                <c:pt idx="259">
                  <c:v>0.51609733746131947</c:v>
                </c:pt>
                <c:pt idx="260">
                  <c:v>0.51609733746131947</c:v>
                </c:pt>
                <c:pt idx="261">
                  <c:v>0.51609733746131947</c:v>
                </c:pt>
                <c:pt idx="262">
                  <c:v>0.51609733746131947</c:v>
                </c:pt>
                <c:pt idx="263">
                  <c:v>0.51609733746131947</c:v>
                </c:pt>
                <c:pt idx="264">
                  <c:v>0.51609733746131947</c:v>
                </c:pt>
                <c:pt idx="265">
                  <c:v>0.51609733746131947</c:v>
                </c:pt>
                <c:pt idx="266">
                  <c:v>0.51609733746131947</c:v>
                </c:pt>
                <c:pt idx="267">
                  <c:v>0.51609733746131947</c:v>
                </c:pt>
                <c:pt idx="268">
                  <c:v>0.51609733746131947</c:v>
                </c:pt>
                <c:pt idx="269">
                  <c:v>0.51609733746131947</c:v>
                </c:pt>
                <c:pt idx="270">
                  <c:v>0.51609733746131947</c:v>
                </c:pt>
                <c:pt idx="271">
                  <c:v>0.37911342958003347</c:v>
                </c:pt>
                <c:pt idx="272">
                  <c:v>0.37911342958003347</c:v>
                </c:pt>
                <c:pt idx="273">
                  <c:v>0.37911342958003347</c:v>
                </c:pt>
                <c:pt idx="274">
                  <c:v>0.37911342958003347</c:v>
                </c:pt>
                <c:pt idx="275">
                  <c:v>0.37911342958003347</c:v>
                </c:pt>
                <c:pt idx="276">
                  <c:v>0.37911342958003347</c:v>
                </c:pt>
                <c:pt idx="277">
                  <c:v>0.37911342958003347</c:v>
                </c:pt>
                <c:pt idx="278">
                  <c:v>0.37911342958003347</c:v>
                </c:pt>
                <c:pt idx="279">
                  <c:v>0.37911342958003347</c:v>
                </c:pt>
                <c:pt idx="280">
                  <c:v>0.37911342958003347</c:v>
                </c:pt>
                <c:pt idx="281">
                  <c:v>0.37911342958003347</c:v>
                </c:pt>
                <c:pt idx="282">
                  <c:v>0.37911342958003347</c:v>
                </c:pt>
                <c:pt idx="283">
                  <c:v>0.37911342958003347</c:v>
                </c:pt>
                <c:pt idx="284">
                  <c:v>0.41629031696910601</c:v>
                </c:pt>
                <c:pt idx="285">
                  <c:v>0.41629031696910601</c:v>
                </c:pt>
                <c:pt idx="286">
                  <c:v>0.41629031696910601</c:v>
                </c:pt>
                <c:pt idx="287">
                  <c:v>0.41629031696910601</c:v>
                </c:pt>
                <c:pt idx="288">
                  <c:v>0.41629031696910601</c:v>
                </c:pt>
                <c:pt idx="289">
                  <c:v>0.41629031696910601</c:v>
                </c:pt>
                <c:pt idx="290">
                  <c:v>0.41629031696910601</c:v>
                </c:pt>
                <c:pt idx="291">
                  <c:v>0.41629031696910601</c:v>
                </c:pt>
                <c:pt idx="292">
                  <c:v>0.41629031696910601</c:v>
                </c:pt>
                <c:pt idx="293">
                  <c:v>0.41629031696910601</c:v>
                </c:pt>
                <c:pt idx="294">
                  <c:v>0.41629031696910601</c:v>
                </c:pt>
                <c:pt idx="295">
                  <c:v>0.41629031696910601</c:v>
                </c:pt>
                <c:pt idx="296">
                  <c:v>0.41629031696910601</c:v>
                </c:pt>
                <c:pt idx="297">
                  <c:v>-3.8976091701761861E-2</c:v>
                </c:pt>
                <c:pt idx="298">
                  <c:v>-3.8976091701761861E-2</c:v>
                </c:pt>
                <c:pt idx="299">
                  <c:v>-3.8976091701761861E-2</c:v>
                </c:pt>
                <c:pt idx="300">
                  <c:v>-3.8976091701761861E-2</c:v>
                </c:pt>
                <c:pt idx="301">
                  <c:v>-3.8976091701761861E-2</c:v>
                </c:pt>
                <c:pt idx="302">
                  <c:v>-3.8976091701761861E-2</c:v>
                </c:pt>
                <c:pt idx="303">
                  <c:v>-3.8976091701761861E-2</c:v>
                </c:pt>
                <c:pt idx="304">
                  <c:v>-3.8976091701761861E-2</c:v>
                </c:pt>
                <c:pt idx="305">
                  <c:v>-3.8976091701761861E-2</c:v>
                </c:pt>
                <c:pt idx="306">
                  <c:v>-3.8976091701761861E-2</c:v>
                </c:pt>
                <c:pt idx="307">
                  <c:v>-3.8976091701761861E-2</c:v>
                </c:pt>
                <c:pt idx="308">
                  <c:v>-3.8976091701761861E-2</c:v>
                </c:pt>
                <c:pt idx="309">
                  <c:v>-3.8976091701761861E-2</c:v>
                </c:pt>
                <c:pt idx="310">
                  <c:v>-0.90252714586882354</c:v>
                </c:pt>
                <c:pt idx="311">
                  <c:v>-0.90252714586882354</c:v>
                </c:pt>
                <c:pt idx="312">
                  <c:v>-0.90252714586882354</c:v>
                </c:pt>
                <c:pt idx="313">
                  <c:v>-0.90252714586882354</c:v>
                </c:pt>
                <c:pt idx="314">
                  <c:v>-0.90252714586882354</c:v>
                </c:pt>
                <c:pt idx="315">
                  <c:v>-0.90252714586882354</c:v>
                </c:pt>
                <c:pt idx="316">
                  <c:v>-0.90252714586882354</c:v>
                </c:pt>
                <c:pt idx="317">
                  <c:v>-0.90252714586882354</c:v>
                </c:pt>
                <c:pt idx="318">
                  <c:v>-0.90252714586882354</c:v>
                </c:pt>
                <c:pt idx="319">
                  <c:v>-0.90252714586882354</c:v>
                </c:pt>
                <c:pt idx="320">
                  <c:v>-0.90252714586882354</c:v>
                </c:pt>
                <c:pt idx="321">
                  <c:v>-0.90252714586882354</c:v>
                </c:pt>
                <c:pt idx="322">
                  <c:v>-0.90252714586882354</c:v>
                </c:pt>
                <c:pt idx="323">
                  <c:v>-1.1855479438739633</c:v>
                </c:pt>
                <c:pt idx="324">
                  <c:v>-1.1855479438739633</c:v>
                </c:pt>
                <c:pt idx="325">
                  <c:v>-1.1855479438739633</c:v>
                </c:pt>
                <c:pt idx="326">
                  <c:v>-1.1855479438739633</c:v>
                </c:pt>
                <c:pt idx="327">
                  <c:v>-1.1855479438739633</c:v>
                </c:pt>
                <c:pt idx="328">
                  <c:v>-1.1855479438739633</c:v>
                </c:pt>
                <c:pt idx="329">
                  <c:v>-1.1855479438739633</c:v>
                </c:pt>
                <c:pt idx="330">
                  <c:v>-1.1855479438739633</c:v>
                </c:pt>
                <c:pt idx="331">
                  <c:v>-1.1855479438739633</c:v>
                </c:pt>
                <c:pt idx="332">
                  <c:v>-1.1855479438739633</c:v>
                </c:pt>
                <c:pt idx="333">
                  <c:v>-1.1855479438739633</c:v>
                </c:pt>
                <c:pt idx="334">
                  <c:v>-1.1855479438739633</c:v>
                </c:pt>
                <c:pt idx="335">
                  <c:v>-1.1855479438739633</c:v>
                </c:pt>
                <c:pt idx="336">
                  <c:v>-0.51813874978054464</c:v>
                </c:pt>
                <c:pt idx="337">
                  <c:v>-0.51813874978054464</c:v>
                </c:pt>
                <c:pt idx="338">
                  <c:v>-0.51813874978054464</c:v>
                </c:pt>
                <c:pt idx="339">
                  <c:v>-0.51813874978054464</c:v>
                </c:pt>
                <c:pt idx="340">
                  <c:v>-0.51813874978054464</c:v>
                </c:pt>
                <c:pt idx="341">
                  <c:v>-0.51813874978054464</c:v>
                </c:pt>
                <c:pt idx="342">
                  <c:v>-0.51813874978054464</c:v>
                </c:pt>
                <c:pt idx="343">
                  <c:v>-0.51813874978054464</c:v>
                </c:pt>
                <c:pt idx="344">
                  <c:v>-0.51813874978054464</c:v>
                </c:pt>
                <c:pt idx="345">
                  <c:v>-0.51813874978054464</c:v>
                </c:pt>
                <c:pt idx="346">
                  <c:v>-0.51813874978054464</c:v>
                </c:pt>
                <c:pt idx="347">
                  <c:v>-0.51813874978054464</c:v>
                </c:pt>
                <c:pt idx="348">
                  <c:v>-0.51813874978054464</c:v>
                </c:pt>
                <c:pt idx="349">
                  <c:v>-7.2900463555207337E-2</c:v>
                </c:pt>
                <c:pt idx="350">
                  <c:v>-7.2900463555207337E-2</c:v>
                </c:pt>
                <c:pt idx="351">
                  <c:v>-7.2900463555207337E-2</c:v>
                </c:pt>
                <c:pt idx="352">
                  <c:v>-7.2900463555207337E-2</c:v>
                </c:pt>
                <c:pt idx="353">
                  <c:v>-7.2900463555207337E-2</c:v>
                </c:pt>
                <c:pt idx="354">
                  <c:v>-7.2900463555207337E-2</c:v>
                </c:pt>
                <c:pt idx="355">
                  <c:v>-7.2900463555207337E-2</c:v>
                </c:pt>
                <c:pt idx="356">
                  <c:v>-7.2900463555207337E-2</c:v>
                </c:pt>
                <c:pt idx="357">
                  <c:v>-7.2900463555207337E-2</c:v>
                </c:pt>
                <c:pt idx="358">
                  <c:v>-7.2900463555207337E-2</c:v>
                </c:pt>
                <c:pt idx="359">
                  <c:v>-7.2900463555207337E-2</c:v>
                </c:pt>
                <c:pt idx="360">
                  <c:v>-7.2900463555207337E-2</c:v>
                </c:pt>
                <c:pt idx="361">
                  <c:v>-7.2900463555207337E-2</c:v>
                </c:pt>
                <c:pt idx="362">
                  <c:v>3.7965037304166796E-2</c:v>
                </c:pt>
                <c:pt idx="363">
                  <c:v>3.7965037304166796E-2</c:v>
                </c:pt>
                <c:pt idx="364">
                  <c:v>3.7965037304166796E-2</c:v>
                </c:pt>
                <c:pt idx="365">
                  <c:v>3.7965037304166796E-2</c:v>
                </c:pt>
                <c:pt idx="366">
                  <c:v>3.7965037304166796E-2</c:v>
                </c:pt>
                <c:pt idx="367">
                  <c:v>3.7965037304166796E-2</c:v>
                </c:pt>
                <c:pt idx="368">
                  <c:v>3.7965037304166796E-2</c:v>
                </c:pt>
                <c:pt idx="369">
                  <c:v>3.7965037304166796E-2</c:v>
                </c:pt>
                <c:pt idx="370">
                  <c:v>3.7965037304166796E-2</c:v>
                </c:pt>
                <c:pt idx="371">
                  <c:v>3.7965037304166796E-2</c:v>
                </c:pt>
                <c:pt idx="372">
                  <c:v>3.7965037304166796E-2</c:v>
                </c:pt>
                <c:pt idx="373">
                  <c:v>3.7965037304166796E-2</c:v>
                </c:pt>
                <c:pt idx="374">
                  <c:v>3.7965037304166796E-2</c:v>
                </c:pt>
                <c:pt idx="375">
                  <c:v>0.1614158393298295</c:v>
                </c:pt>
                <c:pt idx="376">
                  <c:v>0.1614158393298295</c:v>
                </c:pt>
                <c:pt idx="377">
                  <c:v>0.1614158393298295</c:v>
                </c:pt>
                <c:pt idx="378">
                  <c:v>0.1614158393298295</c:v>
                </c:pt>
                <c:pt idx="379">
                  <c:v>0.1614158393298295</c:v>
                </c:pt>
                <c:pt idx="380">
                  <c:v>0.1614158393298295</c:v>
                </c:pt>
                <c:pt idx="381">
                  <c:v>0.1614158393298295</c:v>
                </c:pt>
                <c:pt idx="382">
                  <c:v>0.1614158393298295</c:v>
                </c:pt>
                <c:pt idx="383">
                  <c:v>0.1614158393298295</c:v>
                </c:pt>
                <c:pt idx="384">
                  <c:v>0.1614158393298295</c:v>
                </c:pt>
                <c:pt idx="385">
                  <c:v>0.1614158393298295</c:v>
                </c:pt>
                <c:pt idx="386">
                  <c:v>0.1614158393298295</c:v>
                </c:pt>
                <c:pt idx="387">
                  <c:v>0.1614158393298295</c:v>
                </c:pt>
                <c:pt idx="388">
                  <c:v>-0.23172582397391342</c:v>
                </c:pt>
                <c:pt idx="389">
                  <c:v>-0.23172582397391342</c:v>
                </c:pt>
                <c:pt idx="390">
                  <c:v>-0.23172582397391342</c:v>
                </c:pt>
                <c:pt idx="391">
                  <c:v>-0.23172582397391342</c:v>
                </c:pt>
                <c:pt idx="392">
                  <c:v>-0.23172582397391342</c:v>
                </c:pt>
                <c:pt idx="393">
                  <c:v>-0.23172582397391342</c:v>
                </c:pt>
                <c:pt idx="394">
                  <c:v>-0.23172582397391342</c:v>
                </c:pt>
                <c:pt idx="395">
                  <c:v>-0.23172582397391342</c:v>
                </c:pt>
                <c:pt idx="396">
                  <c:v>-0.23172582397391342</c:v>
                </c:pt>
                <c:pt idx="397">
                  <c:v>-0.23172582397391342</c:v>
                </c:pt>
                <c:pt idx="398">
                  <c:v>-0.23172582397391342</c:v>
                </c:pt>
                <c:pt idx="399">
                  <c:v>-0.23172582397391342</c:v>
                </c:pt>
                <c:pt idx="400">
                  <c:v>-0.23172582397391342</c:v>
                </c:pt>
                <c:pt idx="401">
                  <c:v>0.10232105517048658</c:v>
                </c:pt>
                <c:pt idx="402">
                  <c:v>0.10232105517048658</c:v>
                </c:pt>
                <c:pt idx="403">
                  <c:v>0.10232105517048658</c:v>
                </c:pt>
                <c:pt idx="404">
                  <c:v>0.10232105517048658</c:v>
                </c:pt>
                <c:pt idx="405">
                  <c:v>0.10232105517048658</c:v>
                </c:pt>
                <c:pt idx="406">
                  <c:v>0.10232105517048658</c:v>
                </c:pt>
                <c:pt idx="407">
                  <c:v>0.10232105517048658</c:v>
                </c:pt>
                <c:pt idx="408">
                  <c:v>0.10232105517048658</c:v>
                </c:pt>
                <c:pt idx="409">
                  <c:v>0.10232105517048658</c:v>
                </c:pt>
                <c:pt idx="410">
                  <c:v>0.10232105517048658</c:v>
                </c:pt>
                <c:pt idx="411">
                  <c:v>0.10232105517048658</c:v>
                </c:pt>
                <c:pt idx="412">
                  <c:v>0.10232105517048658</c:v>
                </c:pt>
                <c:pt idx="413">
                  <c:v>0.10232105517048658</c:v>
                </c:pt>
                <c:pt idx="414">
                  <c:v>0.23717352976068215</c:v>
                </c:pt>
                <c:pt idx="415">
                  <c:v>0.23717352976068215</c:v>
                </c:pt>
                <c:pt idx="416">
                  <c:v>0.23717352976068215</c:v>
                </c:pt>
                <c:pt idx="417">
                  <c:v>0.23717352976068215</c:v>
                </c:pt>
                <c:pt idx="418">
                  <c:v>0.23717352976068215</c:v>
                </c:pt>
                <c:pt idx="419">
                  <c:v>0.23717352976068215</c:v>
                </c:pt>
                <c:pt idx="420">
                  <c:v>0.23717352976068215</c:v>
                </c:pt>
                <c:pt idx="421">
                  <c:v>0.23717352976068215</c:v>
                </c:pt>
                <c:pt idx="422">
                  <c:v>0.23717352976068215</c:v>
                </c:pt>
                <c:pt idx="423">
                  <c:v>0.23717352976068215</c:v>
                </c:pt>
                <c:pt idx="424">
                  <c:v>0.23717352976068215</c:v>
                </c:pt>
                <c:pt idx="425">
                  <c:v>0.23717352976068215</c:v>
                </c:pt>
                <c:pt idx="426">
                  <c:v>0.23717352976068215</c:v>
                </c:pt>
                <c:pt idx="427">
                  <c:v>0.37424511664979332</c:v>
                </c:pt>
                <c:pt idx="428">
                  <c:v>0.37424511664979332</c:v>
                </c:pt>
                <c:pt idx="429">
                  <c:v>0.37424511664979332</c:v>
                </c:pt>
                <c:pt idx="430">
                  <c:v>0.37424511664979332</c:v>
                </c:pt>
                <c:pt idx="431">
                  <c:v>0.37424511664979332</c:v>
                </c:pt>
                <c:pt idx="432">
                  <c:v>0.37424511664979332</c:v>
                </c:pt>
                <c:pt idx="433">
                  <c:v>0.37424511664979332</c:v>
                </c:pt>
                <c:pt idx="434">
                  <c:v>0.37424511664979332</c:v>
                </c:pt>
                <c:pt idx="435">
                  <c:v>0.37424511664979332</c:v>
                </c:pt>
                <c:pt idx="436">
                  <c:v>0.37424511664979332</c:v>
                </c:pt>
                <c:pt idx="437">
                  <c:v>0.37424511664979332</c:v>
                </c:pt>
                <c:pt idx="438">
                  <c:v>0.37424511664979332</c:v>
                </c:pt>
                <c:pt idx="439">
                  <c:v>0.37424511664979332</c:v>
                </c:pt>
                <c:pt idx="440">
                  <c:v>0.53865528930646955</c:v>
                </c:pt>
                <c:pt idx="441">
                  <c:v>0.53865528930646955</c:v>
                </c:pt>
                <c:pt idx="442">
                  <c:v>0.53865528930646955</c:v>
                </c:pt>
                <c:pt idx="443">
                  <c:v>0.53865528930646955</c:v>
                </c:pt>
                <c:pt idx="444">
                  <c:v>0.53865528930646955</c:v>
                </c:pt>
                <c:pt idx="445">
                  <c:v>0.53865528930646955</c:v>
                </c:pt>
                <c:pt idx="446">
                  <c:v>0.53865528930646955</c:v>
                </c:pt>
                <c:pt idx="447">
                  <c:v>0.53865528930646955</c:v>
                </c:pt>
                <c:pt idx="448">
                  <c:v>0.53865528930646955</c:v>
                </c:pt>
                <c:pt idx="449">
                  <c:v>0.53865528930646955</c:v>
                </c:pt>
                <c:pt idx="450">
                  <c:v>0.53865528930646955</c:v>
                </c:pt>
                <c:pt idx="451">
                  <c:v>0.53865528930646955</c:v>
                </c:pt>
                <c:pt idx="452">
                  <c:v>0.53865528930646955</c:v>
                </c:pt>
                <c:pt idx="453">
                  <c:v>2.4974621717207213E-2</c:v>
                </c:pt>
                <c:pt idx="454">
                  <c:v>2.4974621717207213E-2</c:v>
                </c:pt>
                <c:pt idx="455">
                  <c:v>2.4974621717207213E-2</c:v>
                </c:pt>
                <c:pt idx="456">
                  <c:v>2.4974621717207213E-2</c:v>
                </c:pt>
                <c:pt idx="457">
                  <c:v>2.4974621717207213E-2</c:v>
                </c:pt>
                <c:pt idx="458">
                  <c:v>2.4974621717207213E-2</c:v>
                </c:pt>
                <c:pt idx="459">
                  <c:v>2.4974621717207213E-2</c:v>
                </c:pt>
                <c:pt idx="460">
                  <c:v>2.4974621717207213E-2</c:v>
                </c:pt>
                <c:pt idx="461">
                  <c:v>2.4974621717207213E-2</c:v>
                </c:pt>
                <c:pt idx="462">
                  <c:v>2.4974621717207213E-2</c:v>
                </c:pt>
                <c:pt idx="463">
                  <c:v>2.4974621717207213E-2</c:v>
                </c:pt>
                <c:pt idx="464">
                  <c:v>2.4974621717207213E-2</c:v>
                </c:pt>
                <c:pt idx="465">
                  <c:v>2.4974621717207213E-2</c:v>
                </c:pt>
                <c:pt idx="466">
                  <c:v>2.4974621717207213E-2</c:v>
                </c:pt>
                <c:pt idx="467">
                  <c:v>0.16578989489716095</c:v>
                </c:pt>
                <c:pt idx="468">
                  <c:v>0.16578989489716095</c:v>
                </c:pt>
                <c:pt idx="469">
                  <c:v>0.16578989489716095</c:v>
                </c:pt>
                <c:pt idx="470">
                  <c:v>0.16578989489716095</c:v>
                </c:pt>
                <c:pt idx="471">
                  <c:v>0.16578989489716095</c:v>
                </c:pt>
                <c:pt idx="472">
                  <c:v>0.16578989489716095</c:v>
                </c:pt>
                <c:pt idx="473">
                  <c:v>0.16578989489716095</c:v>
                </c:pt>
                <c:pt idx="474">
                  <c:v>0.16578989489716095</c:v>
                </c:pt>
                <c:pt idx="475">
                  <c:v>0.16578989489716095</c:v>
                </c:pt>
                <c:pt idx="476">
                  <c:v>0.16578989489716095</c:v>
                </c:pt>
                <c:pt idx="477">
                  <c:v>0.16578989489716095</c:v>
                </c:pt>
                <c:pt idx="478">
                  <c:v>0.16578989489716095</c:v>
                </c:pt>
                <c:pt idx="479">
                  <c:v>0.16578989489716095</c:v>
                </c:pt>
                <c:pt idx="480">
                  <c:v>0.41159269629946821</c:v>
                </c:pt>
                <c:pt idx="481">
                  <c:v>0.41159269629946821</c:v>
                </c:pt>
                <c:pt idx="482">
                  <c:v>0.41159269629946821</c:v>
                </c:pt>
                <c:pt idx="483">
                  <c:v>0.41159269629946821</c:v>
                </c:pt>
                <c:pt idx="484">
                  <c:v>0.41159269629946821</c:v>
                </c:pt>
                <c:pt idx="485">
                  <c:v>0.41159269629946821</c:v>
                </c:pt>
                <c:pt idx="486">
                  <c:v>0.41159269629946821</c:v>
                </c:pt>
                <c:pt idx="487">
                  <c:v>0.41159269629946821</c:v>
                </c:pt>
                <c:pt idx="488">
                  <c:v>0.41159269629946821</c:v>
                </c:pt>
                <c:pt idx="489">
                  <c:v>0.41159269629946821</c:v>
                </c:pt>
                <c:pt idx="490">
                  <c:v>0.41159269629946821</c:v>
                </c:pt>
                <c:pt idx="491">
                  <c:v>0.41159269629946821</c:v>
                </c:pt>
                <c:pt idx="492">
                  <c:v>0.41159269629946821</c:v>
                </c:pt>
                <c:pt idx="493">
                  <c:v>0.41061389172972529</c:v>
                </c:pt>
                <c:pt idx="494">
                  <c:v>0.41061389172972529</c:v>
                </c:pt>
                <c:pt idx="495">
                  <c:v>0.41061389172972529</c:v>
                </c:pt>
                <c:pt idx="496">
                  <c:v>0.41061389172972529</c:v>
                </c:pt>
                <c:pt idx="497">
                  <c:v>0.41061389172972529</c:v>
                </c:pt>
                <c:pt idx="498">
                  <c:v>0.41061389172972529</c:v>
                </c:pt>
                <c:pt idx="499">
                  <c:v>0.41061389172972529</c:v>
                </c:pt>
                <c:pt idx="500">
                  <c:v>0.41061389172972529</c:v>
                </c:pt>
                <c:pt idx="501">
                  <c:v>0.41061389172972529</c:v>
                </c:pt>
                <c:pt idx="502">
                  <c:v>0.41061389172972529</c:v>
                </c:pt>
                <c:pt idx="503">
                  <c:v>0.41061389172972529</c:v>
                </c:pt>
                <c:pt idx="504">
                  <c:v>0.41061389172972529</c:v>
                </c:pt>
                <c:pt idx="505">
                  <c:v>0.41061389172972529</c:v>
                </c:pt>
                <c:pt idx="506">
                  <c:v>0.61345219974843646</c:v>
                </c:pt>
                <c:pt idx="507">
                  <c:v>0.61345219974843646</c:v>
                </c:pt>
                <c:pt idx="508">
                  <c:v>0.61345219974843646</c:v>
                </c:pt>
                <c:pt idx="509">
                  <c:v>0.61345219974843646</c:v>
                </c:pt>
                <c:pt idx="510">
                  <c:v>0.61345219974843646</c:v>
                </c:pt>
                <c:pt idx="511">
                  <c:v>0.61345219974843646</c:v>
                </c:pt>
                <c:pt idx="512">
                  <c:v>0.61345219974843646</c:v>
                </c:pt>
                <c:pt idx="513">
                  <c:v>0.61345219974843646</c:v>
                </c:pt>
                <c:pt idx="514">
                  <c:v>0.61345219974843646</c:v>
                </c:pt>
                <c:pt idx="515">
                  <c:v>0.61345219974843646</c:v>
                </c:pt>
                <c:pt idx="516">
                  <c:v>0.61345219974843646</c:v>
                </c:pt>
                <c:pt idx="517">
                  <c:v>0.61345219974843646</c:v>
                </c:pt>
                <c:pt idx="518">
                  <c:v>0.61345219974843646</c:v>
                </c:pt>
                <c:pt idx="519">
                  <c:v>0.58995465197052765</c:v>
                </c:pt>
                <c:pt idx="520">
                  <c:v>0.58995465197052765</c:v>
                </c:pt>
                <c:pt idx="521">
                  <c:v>0.58995465197052765</c:v>
                </c:pt>
                <c:pt idx="522">
                  <c:v>0.58995465197052765</c:v>
                </c:pt>
                <c:pt idx="523">
                  <c:v>0.58995465197052765</c:v>
                </c:pt>
                <c:pt idx="524">
                  <c:v>0.58995465197052765</c:v>
                </c:pt>
                <c:pt idx="525">
                  <c:v>0.58995465197052765</c:v>
                </c:pt>
                <c:pt idx="526">
                  <c:v>0.58995465197052765</c:v>
                </c:pt>
                <c:pt idx="527">
                  <c:v>0.58995465197052765</c:v>
                </c:pt>
                <c:pt idx="528">
                  <c:v>0.58995465197052765</c:v>
                </c:pt>
                <c:pt idx="529">
                  <c:v>0.58995465197052765</c:v>
                </c:pt>
                <c:pt idx="530">
                  <c:v>0.58995465197052765</c:v>
                </c:pt>
                <c:pt idx="531">
                  <c:v>0.58995465197052765</c:v>
                </c:pt>
                <c:pt idx="532">
                  <c:v>0.59491723696258358</c:v>
                </c:pt>
                <c:pt idx="533">
                  <c:v>0.59491723696258358</c:v>
                </c:pt>
                <c:pt idx="534">
                  <c:v>0.59491723696258358</c:v>
                </c:pt>
                <c:pt idx="535">
                  <c:v>0.59491723696258358</c:v>
                </c:pt>
                <c:pt idx="536">
                  <c:v>0.59491723696258358</c:v>
                </c:pt>
                <c:pt idx="537">
                  <c:v>0.59491723696258358</c:v>
                </c:pt>
                <c:pt idx="538">
                  <c:v>0.59491723696258358</c:v>
                </c:pt>
                <c:pt idx="539">
                  <c:v>0.59491723696258358</c:v>
                </c:pt>
                <c:pt idx="540">
                  <c:v>0.59491723696258358</c:v>
                </c:pt>
                <c:pt idx="541">
                  <c:v>0.59491723696258358</c:v>
                </c:pt>
                <c:pt idx="542">
                  <c:v>0.59491723696258358</c:v>
                </c:pt>
                <c:pt idx="543">
                  <c:v>0.59491723696258358</c:v>
                </c:pt>
                <c:pt idx="544">
                  <c:v>0.59491723696258358</c:v>
                </c:pt>
                <c:pt idx="545">
                  <c:v>0.35967534405587653</c:v>
                </c:pt>
                <c:pt idx="546">
                  <c:v>0.35967534405587653</c:v>
                </c:pt>
                <c:pt idx="547">
                  <c:v>0.35967534405587653</c:v>
                </c:pt>
                <c:pt idx="548">
                  <c:v>0.35967534405587653</c:v>
                </c:pt>
                <c:pt idx="549">
                  <c:v>0.35967534405587653</c:v>
                </c:pt>
                <c:pt idx="550">
                  <c:v>0.35967534405587653</c:v>
                </c:pt>
                <c:pt idx="551">
                  <c:v>0.35967534405587653</c:v>
                </c:pt>
                <c:pt idx="552">
                  <c:v>0.35967534405587653</c:v>
                </c:pt>
                <c:pt idx="553">
                  <c:v>0.35967534405587653</c:v>
                </c:pt>
                <c:pt idx="554">
                  <c:v>0.35967534405587653</c:v>
                </c:pt>
                <c:pt idx="555">
                  <c:v>0.35967534405587653</c:v>
                </c:pt>
                <c:pt idx="556">
                  <c:v>0.35967534405587653</c:v>
                </c:pt>
                <c:pt idx="557">
                  <c:v>0.35967534405587653</c:v>
                </c:pt>
                <c:pt idx="558">
                  <c:v>0.38535983735858181</c:v>
                </c:pt>
                <c:pt idx="559">
                  <c:v>0.38535983735858181</c:v>
                </c:pt>
                <c:pt idx="560">
                  <c:v>0.38535983735858181</c:v>
                </c:pt>
                <c:pt idx="561">
                  <c:v>0.38535983735858181</c:v>
                </c:pt>
                <c:pt idx="562">
                  <c:v>0.38535983735858181</c:v>
                </c:pt>
                <c:pt idx="563">
                  <c:v>0.38535983735858181</c:v>
                </c:pt>
                <c:pt idx="564">
                  <c:v>0.38535983735858181</c:v>
                </c:pt>
                <c:pt idx="565">
                  <c:v>0.38535983735858181</c:v>
                </c:pt>
                <c:pt idx="566">
                  <c:v>0.38535983735858181</c:v>
                </c:pt>
                <c:pt idx="567">
                  <c:v>0.38535983735858181</c:v>
                </c:pt>
                <c:pt idx="568">
                  <c:v>0.38535983735858181</c:v>
                </c:pt>
                <c:pt idx="569">
                  <c:v>0.38535983735858181</c:v>
                </c:pt>
                <c:pt idx="570">
                  <c:v>0.38535983735858181</c:v>
                </c:pt>
                <c:pt idx="571">
                  <c:v>0.54397834195415373</c:v>
                </c:pt>
                <c:pt idx="572">
                  <c:v>0.54397834195415373</c:v>
                </c:pt>
                <c:pt idx="573">
                  <c:v>0.54397834195415373</c:v>
                </c:pt>
                <c:pt idx="574">
                  <c:v>0.54397834195415373</c:v>
                </c:pt>
                <c:pt idx="575">
                  <c:v>0.54397834195415373</c:v>
                </c:pt>
                <c:pt idx="576">
                  <c:v>0.54397834195415373</c:v>
                </c:pt>
                <c:pt idx="577">
                  <c:v>0.54397834195415373</c:v>
                </c:pt>
                <c:pt idx="578">
                  <c:v>0.54397834195415373</c:v>
                </c:pt>
                <c:pt idx="579">
                  <c:v>0.54397834195415373</c:v>
                </c:pt>
                <c:pt idx="580">
                  <c:v>0.54397834195415373</c:v>
                </c:pt>
                <c:pt idx="581">
                  <c:v>0.54397834195415373</c:v>
                </c:pt>
                <c:pt idx="582">
                  <c:v>0.54397834195415373</c:v>
                </c:pt>
                <c:pt idx="583">
                  <c:v>0.54397834195415373</c:v>
                </c:pt>
                <c:pt idx="584">
                  <c:v>0.55075429370945661</c:v>
                </c:pt>
                <c:pt idx="585">
                  <c:v>0.55075429370945661</c:v>
                </c:pt>
                <c:pt idx="586">
                  <c:v>0.55075429370945661</c:v>
                </c:pt>
                <c:pt idx="587">
                  <c:v>0.55075429370945661</c:v>
                </c:pt>
                <c:pt idx="588">
                  <c:v>0.55075429370945661</c:v>
                </c:pt>
                <c:pt idx="589">
                  <c:v>0.55075429370945661</c:v>
                </c:pt>
                <c:pt idx="590">
                  <c:v>0.55075429370945661</c:v>
                </c:pt>
                <c:pt idx="591">
                  <c:v>0.55075429370945661</c:v>
                </c:pt>
                <c:pt idx="592">
                  <c:v>0.55075429370945661</c:v>
                </c:pt>
                <c:pt idx="593">
                  <c:v>0.55075429370945661</c:v>
                </c:pt>
                <c:pt idx="594">
                  <c:v>0.55075429370945661</c:v>
                </c:pt>
                <c:pt idx="595">
                  <c:v>0.55075429370945661</c:v>
                </c:pt>
                <c:pt idx="596">
                  <c:v>0.55075429370945661</c:v>
                </c:pt>
                <c:pt idx="597">
                  <c:v>0.59980832448160437</c:v>
                </c:pt>
                <c:pt idx="598">
                  <c:v>0.59980832448160437</c:v>
                </c:pt>
                <c:pt idx="599">
                  <c:v>0.59980832448160437</c:v>
                </c:pt>
                <c:pt idx="600">
                  <c:v>0.59980832448160437</c:v>
                </c:pt>
                <c:pt idx="601">
                  <c:v>0.59980832448160437</c:v>
                </c:pt>
                <c:pt idx="602">
                  <c:v>0.59980832448160437</c:v>
                </c:pt>
                <c:pt idx="603">
                  <c:v>0.59980832448160437</c:v>
                </c:pt>
                <c:pt idx="604">
                  <c:v>0.59980832448160437</c:v>
                </c:pt>
                <c:pt idx="605">
                  <c:v>0.59980832448160437</c:v>
                </c:pt>
                <c:pt idx="606">
                  <c:v>0.59980832448160437</c:v>
                </c:pt>
                <c:pt idx="607">
                  <c:v>0.59980832448160437</c:v>
                </c:pt>
                <c:pt idx="608">
                  <c:v>0.59980832448160437</c:v>
                </c:pt>
                <c:pt idx="609">
                  <c:v>0.59980832448160437</c:v>
                </c:pt>
                <c:pt idx="610">
                  <c:v>0.44764590995621001</c:v>
                </c:pt>
                <c:pt idx="611">
                  <c:v>0.44764590995621001</c:v>
                </c:pt>
                <c:pt idx="612">
                  <c:v>0.44764590995621001</c:v>
                </c:pt>
                <c:pt idx="613">
                  <c:v>0.44764590995621001</c:v>
                </c:pt>
                <c:pt idx="614">
                  <c:v>0.44764590995621001</c:v>
                </c:pt>
                <c:pt idx="615">
                  <c:v>0.44764590995621001</c:v>
                </c:pt>
                <c:pt idx="616">
                  <c:v>0.44764590995621001</c:v>
                </c:pt>
                <c:pt idx="617">
                  <c:v>0.44764590995621001</c:v>
                </c:pt>
                <c:pt idx="618">
                  <c:v>0.44764590995621001</c:v>
                </c:pt>
                <c:pt idx="619">
                  <c:v>0.44764590995621001</c:v>
                </c:pt>
                <c:pt idx="620">
                  <c:v>0.44764590995621001</c:v>
                </c:pt>
                <c:pt idx="621">
                  <c:v>0.44764590995621001</c:v>
                </c:pt>
                <c:pt idx="622">
                  <c:v>0.44764590995621001</c:v>
                </c:pt>
                <c:pt idx="623">
                  <c:v>0.35931163950683387</c:v>
                </c:pt>
                <c:pt idx="624">
                  <c:v>0.35931163950683387</c:v>
                </c:pt>
                <c:pt idx="625">
                  <c:v>0.35931163950683387</c:v>
                </c:pt>
                <c:pt idx="626">
                  <c:v>0.35931163950683387</c:v>
                </c:pt>
                <c:pt idx="627">
                  <c:v>0.35931163950683387</c:v>
                </c:pt>
                <c:pt idx="628">
                  <c:v>0.35931163950683387</c:v>
                </c:pt>
                <c:pt idx="629">
                  <c:v>0.35931163950683387</c:v>
                </c:pt>
                <c:pt idx="630">
                  <c:v>0.35931163950683387</c:v>
                </c:pt>
                <c:pt idx="631">
                  <c:v>0.35931163950683387</c:v>
                </c:pt>
                <c:pt idx="632">
                  <c:v>0.35931163950683387</c:v>
                </c:pt>
                <c:pt idx="633">
                  <c:v>0.35931163950683387</c:v>
                </c:pt>
                <c:pt idx="634">
                  <c:v>0.35931163950683387</c:v>
                </c:pt>
                <c:pt idx="635">
                  <c:v>0.35931163950683387</c:v>
                </c:pt>
                <c:pt idx="636">
                  <c:v>0.20170544763179732</c:v>
                </c:pt>
                <c:pt idx="637">
                  <c:v>0.20170544763179732</c:v>
                </c:pt>
                <c:pt idx="638">
                  <c:v>0.20170544763179732</c:v>
                </c:pt>
                <c:pt idx="639">
                  <c:v>0.20170544763179732</c:v>
                </c:pt>
                <c:pt idx="640">
                  <c:v>0.20170544763179732</c:v>
                </c:pt>
                <c:pt idx="641">
                  <c:v>0.20170544763179732</c:v>
                </c:pt>
                <c:pt idx="642">
                  <c:v>0.20170544763179732</c:v>
                </c:pt>
                <c:pt idx="643">
                  <c:v>0.20170544763179732</c:v>
                </c:pt>
                <c:pt idx="644">
                  <c:v>0.20170544763179732</c:v>
                </c:pt>
                <c:pt idx="645">
                  <c:v>0.20170544763179732</c:v>
                </c:pt>
                <c:pt idx="646">
                  <c:v>0.20170544763179732</c:v>
                </c:pt>
                <c:pt idx="647">
                  <c:v>0.20170544763179732</c:v>
                </c:pt>
                <c:pt idx="648">
                  <c:v>0.20170544763179732</c:v>
                </c:pt>
                <c:pt idx="649">
                  <c:v>0.11185136032898671</c:v>
                </c:pt>
                <c:pt idx="650">
                  <c:v>0.11185136032898671</c:v>
                </c:pt>
                <c:pt idx="651">
                  <c:v>0.11185136032898671</c:v>
                </c:pt>
                <c:pt idx="652">
                  <c:v>0.11185136032898671</c:v>
                </c:pt>
                <c:pt idx="653">
                  <c:v>0.11185136032898671</c:v>
                </c:pt>
                <c:pt idx="654">
                  <c:v>0.11185136032898671</c:v>
                </c:pt>
                <c:pt idx="655">
                  <c:v>0.11185136032898671</c:v>
                </c:pt>
                <c:pt idx="656">
                  <c:v>0.11185136032898671</c:v>
                </c:pt>
                <c:pt idx="657">
                  <c:v>0.11185136032898671</c:v>
                </c:pt>
                <c:pt idx="658">
                  <c:v>0.11185136032898671</c:v>
                </c:pt>
                <c:pt idx="659">
                  <c:v>0.11185136032898671</c:v>
                </c:pt>
                <c:pt idx="660">
                  <c:v>0.11185136032898671</c:v>
                </c:pt>
                <c:pt idx="661">
                  <c:v>0.11185136032898671</c:v>
                </c:pt>
                <c:pt idx="662">
                  <c:v>-0.29094695226947365</c:v>
                </c:pt>
                <c:pt idx="663">
                  <c:v>-0.29094695226947365</c:v>
                </c:pt>
                <c:pt idx="664">
                  <c:v>-0.29094695226947365</c:v>
                </c:pt>
                <c:pt idx="665">
                  <c:v>-0.29094695226947365</c:v>
                </c:pt>
                <c:pt idx="666">
                  <c:v>-0.29094695226947365</c:v>
                </c:pt>
                <c:pt idx="667">
                  <c:v>-0.29094695226947365</c:v>
                </c:pt>
                <c:pt idx="668">
                  <c:v>-0.29094695226947365</c:v>
                </c:pt>
                <c:pt idx="669">
                  <c:v>-0.29094695226947365</c:v>
                </c:pt>
                <c:pt idx="670">
                  <c:v>-0.29094695226947365</c:v>
                </c:pt>
                <c:pt idx="671">
                  <c:v>-0.29094695226947365</c:v>
                </c:pt>
                <c:pt idx="672">
                  <c:v>-0.29094695226947365</c:v>
                </c:pt>
                <c:pt idx="673">
                  <c:v>-0.29094695226947365</c:v>
                </c:pt>
                <c:pt idx="674">
                  <c:v>-0.29094695226947365</c:v>
                </c:pt>
                <c:pt idx="675">
                  <c:v>-0.26579703378216962</c:v>
                </c:pt>
                <c:pt idx="676">
                  <c:v>-0.26579703378216962</c:v>
                </c:pt>
                <c:pt idx="677">
                  <c:v>-0.26579703378216962</c:v>
                </c:pt>
                <c:pt idx="678">
                  <c:v>-0.26579703378216962</c:v>
                </c:pt>
                <c:pt idx="679">
                  <c:v>-0.26579703378216962</c:v>
                </c:pt>
                <c:pt idx="680">
                  <c:v>-0.26579703378216962</c:v>
                </c:pt>
                <c:pt idx="681">
                  <c:v>-0.26579703378216962</c:v>
                </c:pt>
                <c:pt idx="682">
                  <c:v>-0.26579703378216962</c:v>
                </c:pt>
                <c:pt idx="683">
                  <c:v>-0.26579703378216962</c:v>
                </c:pt>
                <c:pt idx="684">
                  <c:v>-0.26579703378216962</c:v>
                </c:pt>
                <c:pt idx="685">
                  <c:v>-0.26579703378216962</c:v>
                </c:pt>
                <c:pt idx="686">
                  <c:v>-0.26579703378216962</c:v>
                </c:pt>
                <c:pt idx="687">
                  <c:v>-0.26579703378216962</c:v>
                </c:pt>
                <c:pt idx="688">
                  <c:v>-0.20633625446676213</c:v>
                </c:pt>
                <c:pt idx="689">
                  <c:v>-0.20633625446676213</c:v>
                </c:pt>
                <c:pt idx="690">
                  <c:v>-0.20633625446676213</c:v>
                </c:pt>
                <c:pt idx="691">
                  <c:v>-0.20633625446676213</c:v>
                </c:pt>
                <c:pt idx="692">
                  <c:v>-0.20633625446676213</c:v>
                </c:pt>
                <c:pt idx="693">
                  <c:v>-0.20633625446676213</c:v>
                </c:pt>
                <c:pt idx="694">
                  <c:v>-0.20633625446676213</c:v>
                </c:pt>
                <c:pt idx="695">
                  <c:v>-0.20633625446676213</c:v>
                </c:pt>
                <c:pt idx="696">
                  <c:v>-0.20633625446676213</c:v>
                </c:pt>
                <c:pt idx="697">
                  <c:v>-0.20633625446676213</c:v>
                </c:pt>
                <c:pt idx="698">
                  <c:v>-0.20633625446676213</c:v>
                </c:pt>
                <c:pt idx="699">
                  <c:v>-0.20633625446676213</c:v>
                </c:pt>
                <c:pt idx="700">
                  <c:v>-0.20633625446676213</c:v>
                </c:pt>
                <c:pt idx="701">
                  <c:v>-0.15845132377536494</c:v>
                </c:pt>
                <c:pt idx="702">
                  <c:v>-0.15845132377536494</c:v>
                </c:pt>
                <c:pt idx="703">
                  <c:v>-0.15845132377536494</c:v>
                </c:pt>
                <c:pt idx="704">
                  <c:v>-0.15845132377536494</c:v>
                </c:pt>
                <c:pt idx="705">
                  <c:v>-0.15845132377536494</c:v>
                </c:pt>
                <c:pt idx="706">
                  <c:v>-0.15845132377536494</c:v>
                </c:pt>
                <c:pt idx="707">
                  <c:v>-0.15845132377536494</c:v>
                </c:pt>
                <c:pt idx="708">
                  <c:v>-0.15845132377536494</c:v>
                </c:pt>
                <c:pt idx="709">
                  <c:v>-0.15845132377536494</c:v>
                </c:pt>
                <c:pt idx="710">
                  <c:v>-0.15845132377536494</c:v>
                </c:pt>
                <c:pt idx="711">
                  <c:v>-0.15845132377536494</c:v>
                </c:pt>
                <c:pt idx="712">
                  <c:v>-0.15845132377536494</c:v>
                </c:pt>
                <c:pt idx="713">
                  <c:v>-0.15845132377536494</c:v>
                </c:pt>
                <c:pt idx="714">
                  <c:v>-9.5956241656817709E-2</c:v>
                </c:pt>
                <c:pt idx="715">
                  <c:v>-9.5956241656817709E-2</c:v>
                </c:pt>
                <c:pt idx="716">
                  <c:v>-9.5956241656817709E-2</c:v>
                </c:pt>
                <c:pt idx="717">
                  <c:v>-9.5956241656817709E-2</c:v>
                </c:pt>
                <c:pt idx="718">
                  <c:v>-9.5956241656817709E-2</c:v>
                </c:pt>
                <c:pt idx="719">
                  <c:v>-9.5956241656817709E-2</c:v>
                </c:pt>
                <c:pt idx="720">
                  <c:v>-9.5956241656817709E-2</c:v>
                </c:pt>
                <c:pt idx="721">
                  <c:v>-9.5956241656817709E-2</c:v>
                </c:pt>
                <c:pt idx="722">
                  <c:v>-9.5956241656817709E-2</c:v>
                </c:pt>
                <c:pt idx="723">
                  <c:v>-9.5956241656817709E-2</c:v>
                </c:pt>
                <c:pt idx="724">
                  <c:v>-9.5956241656817709E-2</c:v>
                </c:pt>
                <c:pt idx="725">
                  <c:v>-9.5956241656817709E-2</c:v>
                </c:pt>
                <c:pt idx="726">
                  <c:v>-9.5956241656817709E-2</c:v>
                </c:pt>
                <c:pt idx="727">
                  <c:v>-9.5956241656817709E-2</c:v>
                </c:pt>
                <c:pt idx="728">
                  <c:v>-0.187575025282775</c:v>
                </c:pt>
                <c:pt idx="729">
                  <c:v>-0.187575025282775</c:v>
                </c:pt>
                <c:pt idx="730">
                  <c:v>-0.187575025282775</c:v>
                </c:pt>
                <c:pt idx="731">
                  <c:v>-0.187575025282775</c:v>
                </c:pt>
                <c:pt idx="732">
                  <c:v>-0.187575025282775</c:v>
                </c:pt>
                <c:pt idx="733">
                  <c:v>-0.187575025282775</c:v>
                </c:pt>
                <c:pt idx="734">
                  <c:v>-0.187575025282775</c:v>
                </c:pt>
                <c:pt idx="735">
                  <c:v>-0.187575025282775</c:v>
                </c:pt>
                <c:pt idx="736">
                  <c:v>-0.187575025282775</c:v>
                </c:pt>
                <c:pt idx="737">
                  <c:v>-0.187575025282775</c:v>
                </c:pt>
                <c:pt idx="738">
                  <c:v>-0.187575025282775</c:v>
                </c:pt>
                <c:pt idx="739">
                  <c:v>-0.187575025282775</c:v>
                </c:pt>
                <c:pt idx="740">
                  <c:v>-4.4346325874886655E-2</c:v>
                </c:pt>
                <c:pt idx="741">
                  <c:v>-4.4346325874886655E-2</c:v>
                </c:pt>
                <c:pt idx="742">
                  <c:v>-4.4346325874886655E-2</c:v>
                </c:pt>
                <c:pt idx="743">
                  <c:v>-4.4346325874886655E-2</c:v>
                </c:pt>
                <c:pt idx="744">
                  <c:v>-4.4346325874886655E-2</c:v>
                </c:pt>
                <c:pt idx="745">
                  <c:v>-4.4346325874886655E-2</c:v>
                </c:pt>
                <c:pt idx="746">
                  <c:v>-4.4346325874886655E-2</c:v>
                </c:pt>
                <c:pt idx="747">
                  <c:v>-4.4346325874886655E-2</c:v>
                </c:pt>
                <c:pt idx="748">
                  <c:v>-4.4346325874886655E-2</c:v>
                </c:pt>
                <c:pt idx="749">
                  <c:v>-4.4346325874886655E-2</c:v>
                </c:pt>
                <c:pt idx="750">
                  <c:v>-4.4346325874886655E-2</c:v>
                </c:pt>
                <c:pt idx="751">
                  <c:v>-4.4346325874886655E-2</c:v>
                </c:pt>
                <c:pt idx="752">
                  <c:v>-4.4346325874886655E-2</c:v>
                </c:pt>
                <c:pt idx="753">
                  <c:v>9.6429244385151991E-2</c:v>
                </c:pt>
                <c:pt idx="754">
                  <c:v>9.6429244385151991E-2</c:v>
                </c:pt>
                <c:pt idx="755">
                  <c:v>9.6429244385151991E-2</c:v>
                </c:pt>
                <c:pt idx="756">
                  <c:v>9.6429244385151991E-2</c:v>
                </c:pt>
                <c:pt idx="757">
                  <c:v>9.6429244385151991E-2</c:v>
                </c:pt>
                <c:pt idx="758">
                  <c:v>9.6429244385151991E-2</c:v>
                </c:pt>
                <c:pt idx="759">
                  <c:v>9.6429244385151991E-2</c:v>
                </c:pt>
                <c:pt idx="760">
                  <c:v>9.6429244385151991E-2</c:v>
                </c:pt>
                <c:pt idx="761">
                  <c:v>9.6429244385151991E-2</c:v>
                </c:pt>
                <c:pt idx="762">
                  <c:v>9.6429244385151991E-2</c:v>
                </c:pt>
                <c:pt idx="763">
                  <c:v>9.6429244385151991E-2</c:v>
                </c:pt>
                <c:pt idx="764">
                  <c:v>9.6429244385151991E-2</c:v>
                </c:pt>
                <c:pt idx="765">
                  <c:v>9.6429244385151991E-2</c:v>
                </c:pt>
                <c:pt idx="766">
                  <c:v>9.6429244385151991E-2</c:v>
                </c:pt>
                <c:pt idx="767">
                  <c:v>0.23647003119592369</c:v>
                </c:pt>
                <c:pt idx="768">
                  <c:v>0.23647003119592369</c:v>
                </c:pt>
                <c:pt idx="769">
                  <c:v>0.23647003119592369</c:v>
                </c:pt>
                <c:pt idx="770">
                  <c:v>0.23647003119592369</c:v>
                </c:pt>
                <c:pt idx="771">
                  <c:v>0.23647003119592369</c:v>
                </c:pt>
                <c:pt idx="772">
                  <c:v>0.23647003119592369</c:v>
                </c:pt>
                <c:pt idx="773">
                  <c:v>0.23647003119592369</c:v>
                </c:pt>
                <c:pt idx="774">
                  <c:v>0.23647003119592369</c:v>
                </c:pt>
                <c:pt idx="775">
                  <c:v>0.23647003119592369</c:v>
                </c:pt>
                <c:pt idx="776">
                  <c:v>0.23647003119592369</c:v>
                </c:pt>
                <c:pt idx="777">
                  <c:v>0.23647003119592369</c:v>
                </c:pt>
                <c:pt idx="778">
                  <c:v>0.23647003119592369</c:v>
                </c:pt>
                <c:pt idx="779">
                  <c:v>0.23647003119592369</c:v>
                </c:pt>
                <c:pt idx="780">
                  <c:v>0.35005828562647207</c:v>
                </c:pt>
                <c:pt idx="781">
                  <c:v>0.35005828562647207</c:v>
                </c:pt>
                <c:pt idx="782">
                  <c:v>0.35005828562647207</c:v>
                </c:pt>
                <c:pt idx="783">
                  <c:v>0.35005828562647207</c:v>
                </c:pt>
                <c:pt idx="784">
                  <c:v>0.35005828562647207</c:v>
                </c:pt>
                <c:pt idx="785">
                  <c:v>0.35005828562647207</c:v>
                </c:pt>
                <c:pt idx="786">
                  <c:v>0.35005828562647207</c:v>
                </c:pt>
                <c:pt idx="787">
                  <c:v>0.35005828562647207</c:v>
                </c:pt>
                <c:pt idx="788">
                  <c:v>0.35005828562647207</c:v>
                </c:pt>
                <c:pt idx="789">
                  <c:v>0.35005828562647207</c:v>
                </c:pt>
                <c:pt idx="790">
                  <c:v>0.35005828562647207</c:v>
                </c:pt>
                <c:pt idx="791">
                  <c:v>0.35005828562647207</c:v>
                </c:pt>
                <c:pt idx="792">
                  <c:v>0.35005828562647207</c:v>
                </c:pt>
                <c:pt idx="793">
                  <c:v>0.27244376178180524</c:v>
                </c:pt>
                <c:pt idx="794">
                  <c:v>0.27244376178180524</c:v>
                </c:pt>
                <c:pt idx="795">
                  <c:v>0.27244376178180524</c:v>
                </c:pt>
                <c:pt idx="796">
                  <c:v>0.27244376178180524</c:v>
                </c:pt>
                <c:pt idx="797">
                  <c:v>0.27244376178180524</c:v>
                </c:pt>
                <c:pt idx="798">
                  <c:v>0.27244376178180524</c:v>
                </c:pt>
                <c:pt idx="799">
                  <c:v>0.27244376178180524</c:v>
                </c:pt>
                <c:pt idx="800">
                  <c:v>0.27244376178180524</c:v>
                </c:pt>
                <c:pt idx="801">
                  <c:v>0.27244376178180524</c:v>
                </c:pt>
                <c:pt idx="802">
                  <c:v>0.27244376178180524</c:v>
                </c:pt>
                <c:pt idx="803">
                  <c:v>0.27244376178180524</c:v>
                </c:pt>
                <c:pt idx="804">
                  <c:v>0.27244376178180524</c:v>
                </c:pt>
                <c:pt idx="805">
                  <c:v>0.27244376178180524</c:v>
                </c:pt>
                <c:pt idx="806">
                  <c:v>4.057763298827019E-2</c:v>
                </c:pt>
                <c:pt idx="807">
                  <c:v>4.057763298827019E-2</c:v>
                </c:pt>
                <c:pt idx="808">
                  <c:v>4.057763298827019E-2</c:v>
                </c:pt>
                <c:pt idx="809">
                  <c:v>4.057763298827019E-2</c:v>
                </c:pt>
                <c:pt idx="810">
                  <c:v>4.057763298827019E-2</c:v>
                </c:pt>
                <c:pt idx="811">
                  <c:v>4.057763298827019E-2</c:v>
                </c:pt>
                <c:pt idx="812">
                  <c:v>4.057763298827019E-2</c:v>
                </c:pt>
                <c:pt idx="813">
                  <c:v>4.057763298827019E-2</c:v>
                </c:pt>
                <c:pt idx="814">
                  <c:v>4.057763298827019E-2</c:v>
                </c:pt>
                <c:pt idx="815">
                  <c:v>4.057763298827019E-2</c:v>
                </c:pt>
                <c:pt idx="816">
                  <c:v>4.057763298827019E-2</c:v>
                </c:pt>
                <c:pt idx="817">
                  <c:v>4.057763298827019E-2</c:v>
                </c:pt>
                <c:pt idx="818">
                  <c:v>4.057763298827019E-2</c:v>
                </c:pt>
                <c:pt idx="819">
                  <c:v>8.1634611542308388E-2</c:v>
                </c:pt>
                <c:pt idx="820">
                  <c:v>8.1634611542308388E-2</c:v>
                </c:pt>
                <c:pt idx="821">
                  <c:v>8.1634611542308388E-2</c:v>
                </c:pt>
                <c:pt idx="822">
                  <c:v>8.1634611542308388E-2</c:v>
                </c:pt>
                <c:pt idx="823">
                  <c:v>8.1634611542308388E-2</c:v>
                </c:pt>
                <c:pt idx="824">
                  <c:v>8.1634611542308388E-2</c:v>
                </c:pt>
                <c:pt idx="825">
                  <c:v>8.1634611542308388E-2</c:v>
                </c:pt>
                <c:pt idx="826">
                  <c:v>8.1634611542308388E-2</c:v>
                </c:pt>
                <c:pt idx="827">
                  <c:v>8.1634611542308388E-2</c:v>
                </c:pt>
                <c:pt idx="828">
                  <c:v>8.1634611542308388E-2</c:v>
                </c:pt>
                <c:pt idx="829">
                  <c:v>8.1634611542308388E-2</c:v>
                </c:pt>
                <c:pt idx="830">
                  <c:v>8.1634611542308388E-2</c:v>
                </c:pt>
                <c:pt idx="831">
                  <c:v>8.1634611542308388E-2</c:v>
                </c:pt>
                <c:pt idx="832">
                  <c:v>-0.26066327368536724</c:v>
                </c:pt>
                <c:pt idx="833">
                  <c:v>-0.26066327368536724</c:v>
                </c:pt>
                <c:pt idx="834">
                  <c:v>-0.26066327368536724</c:v>
                </c:pt>
                <c:pt idx="835">
                  <c:v>-0.26066327368536724</c:v>
                </c:pt>
                <c:pt idx="836">
                  <c:v>-0.26066327368536724</c:v>
                </c:pt>
                <c:pt idx="837">
                  <c:v>-0.26066327368536724</c:v>
                </c:pt>
                <c:pt idx="838">
                  <c:v>-0.26066327368536724</c:v>
                </c:pt>
                <c:pt idx="839">
                  <c:v>-0.26066327368536724</c:v>
                </c:pt>
                <c:pt idx="840">
                  <c:v>-0.26066327368536724</c:v>
                </c:pt>
                <c:pt idx="841">
                  <c:v>-0.26066327368536724</c:v>
                </c:pt>
                <c:pt idx="842">
                  <c:v>-0.26066327368536724</c:v>
                </c:pt>
                <c:pt idx="843">
                  <c:v>-0.26066327368536724</c:v>
                </c:pt>
                <c:pt idx="844">
                  <c:v>-0.26066327368536724</c:v>
                </c:pt>
                <c:pt idx="845">
                  <c:v>2.1411642439168155E-2</c:v>
                </c:pt>
                <c:pt idx="846">
                  <c:v>2.1411642439168155E-2</c:v>
                </c:pt>
                <c:pt idx="847">
                  <c:v>2.1411642439168155E-2</c:v>
                </c:pt>
                <c:pt idx="848">
                  <c:v>2.1411642439168155E-2</c:v>
                </c:pt>
                <c:pt idx="849">
                  <c:v>2.1411642439168155E-2</c:v>
                </c:pt>
                <c:pt idx="850">
                  <c:v>2.1411642439168155E-2</c:v>
                </c:pt>
                <c:pt idx="851">
                  <c:v>2.1411642439168155E-2</c:v>
                </c:pt>
                <c:pt idx="852">
                  <c:v>2.1411642439168155E-2</c:v>
                </c:pt>
                <c:pt idx="853">
                  <c:v>2.1411642439168155E-2</c:v>
                </c:pt>
                <c:pt idx="854">
                  <c:v>2.1411642439168155E-2</c:v>
                </c:pt>
                <c:pt idx="855">
                  <c:v>2.1411642439168155E-2</c:v>
                </c:pt>
                <c:pt idx="856">
                  <c:v>2.1411642439168155E-2</c:v>
                </c:pt>
                <c:pt idx="857">
                  <c:v>2.1411642439168155E-2</c:v>
                </c:pt>
                <c:pt idx="858">
                  <c:v>0.15462341307482302</c:v>
                </c:pt>
                <c:pt idx="859">
                  <c:v>0.15462341307482302</c:v>
                </c:pt>
                <c:pt idx="860">
                  <c:v>0.15462341307482302</c:v>
                </c:pt>
                <c:pt idx="861">
                  <c:v>0.15462341307482302</c:v>
                </c:pt>
                <c:pt idx="862">
                  <c:v>0.15462341307482302</c:v>
                </c:pt>
                <c:pt idx="863">
                  <c:v>0.15462341307482302</c:v>
                </c:pt>
                <c:pt idx="864">
                  <c:v>0.15462341307482302</c:v>
                </c:pt>
                <c:pt idx="865">
                  <c:v>0.15462341307482302</c:v>
                </c:pt>
                <c:pt idx="866">
                  <c:v>0.15462341307482302</c:v>
                </c:pt>
                <c:pt idx="867">
                  <c:v>0.15462341307482302</c:v>
                </c:pt>
                <c:pt idx="868">
                  <c:v>0.15462341307482302</c:v>
                </c:pt>
                <c:pt idx="869">
                  <c:v>0.15462341307482302</c:v>
                </c:pt>
                <c:pt idx="870">
                  <c:v>0.15462341307482302</c:v>
                </c:pt>
                <c:pt idx="871">
                  <c:v>0.22340478786781529</c:v>
                </c:pt>
                <c:pt idx="872">
                  <c:v>0.22340478786781529</c:v>
                </c:pt>
                <c:pt idx="873">
                  <c:v>0.22340478786781529</c:v>
                </c:pt>
                <c:pt idx="874">
                  <c:v>0.22340478786781529</c:v>
                </c:pt>
                <c:pt idx="875">
                  <c:v>0.22340478786781529</c:v>
                </c:pt>
                <c:pt idx="876">
                  <c:v>0.22340478786781529</c:v>
                </c:pt>
                <c:pt idx="877">
                  <c:v>0.22340478786781529</c:v>
                </c:pt>
                <c:pt idx="878">
                  <c:v>0.22340478786781529</c:v>
                </c:pt>
                <c:pt idx="879">
                  <c:v>0.22340478786781529</c:v>
                </c:pt>
                <c:pt idx="880">
                  <c:v>0.22340478786781529</c:v>
                </c:pt>
                <c:pt idx="881">
                  <c:v>0.22340478786781529</c:v>
                </c:pt>
                <c:pt idx="882">
                  <c:v>0.22340478786781529</c:v>
                </c:pt>
                <c:pt idx="883">
                  <c:v>0.22340478786781529</c:v>
                </c:pt>
                <c:pt idx="884">
                  <c:v>0.50084744324453434</c:v>
                </c:pt>
                <c:pt idx="885">
                  <c:v>0.50084744324453434</c:v>
                </c:pt>
                <c:pt idx="886">
                  <c:v>0.50084744324453434</c:v>
                </c:pt>
                <c:pt idx="887">
                  <c:v>0.50084744324453434</c:v>
                </c:pt>
                <c:pt idx="888">
                  <c:v>0.50084744324453434</c:v>
                </c:pt>
                <c:pt idx="889">
                  <c:v>0.50084744324453434</c:v>
                </c:pt>
                <c:pt idx="890">
                  <c:v>0.50084744324453434</c:v>
                </c:pt>
                <c:pt idx="891">
                  <c:v>0.50084744324453434</c:v>
                </c:pt>
                <c:pt idx="892">
                  <c:v>0.50084744324453434</c:v>
                </c:pt>
                <c:pt idx="893">
                  <c:v>0.50084744324453434</c:v>
                </c:pt>
                <c:pt idx="894">
                  <c:v>0.50084744324453434</c:v>
                </c:pt>
                <c:pt idx="895">
                  <c:v>-0.81767798319123086</c:v>
                </c:pt>
                <c:pt idx="896">
                  <c:v>-0.81767798319123086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59-4FFA-BF31-58A87B5E5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245136"/>
        <c:axId val="1174258032"/>
      </c:scatterChart>
      <c:valAx>
        <c:axId val="503105792"/>
        <c:scaling>
          <c:orientation val="minMax"/>
          <c:max val="44200"/>
          <c:min val="37500"/>
        </c:scaling>
        <c:delete val="0"/>
        <c:axPos val="b"/>
        <c:numFmt formatCode="d/mm/yyyy;@" sourceLinked="1"/>
        <c:majorTickMark val="out"/>
        <c:minorTickMark val="none"/>
        <c:tickLblPos val="nextTo"/>
        <c:spPr>
          <a:ln>
            <a:noFill/>
          </a:ln>
        </c:spPr>
        <c:txPr>
          <a:bodyPr rot="-540000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15776"/>
        <c:crosses val="autoZero"/>
        <c:crossBetween val="midCat"/>
        <c:majorUnit val="500"/>
      </c:valAx>
      <c:valAx>
        <c:axId val="503115776"/>
        <c:scaling>
          <c:orientation val="minMax"/>
          <c:min val="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noFill/>
          </a:ln>
        </c:spPr>
        <c:txPr>
          <a:bodyPr rot="0" vert="horz"/>
          <a:lstStyle/>
          <a:p>
            <a:pPr>
              <a:defRPr sz="2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CO"/>
          </a:p>
        </c:txPr>
        <c:crossAx val="503105792"/>
        <c:crosses val="autoZero"/>
        <c:crossBetween val="midCat"/>
      </c:valAx>
      <c:valAx>
        <c:axId val="1174258032"/>
        <c:scaling>
          <c:orientation val="maxMin"/>
        </c:scaling>
        <c:delete val="0"/>
        <c:axPos val="r"/>
        <c:numFmt formatCode="_(* #,##0.00_);_(* \(#,##0.00\);_(* &quot;-&quot;??_);_(@_)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es-CO"/>
          </a:p>
        </c:txPr>
        <c:crossAx val="1174245136"/>
        <c:crosses val="max"/>
        <c:crossBetween val="midCat"/>
        <c:majorUnit val="0.5"/>
      </c:valAx>
      <c:valAx>
        <c:axId val="1174245136"/>
        <c:scaling>
          <c:orientation val="minMax"/>
        </c:scaling>
        <c:delete val="1"/>
        <c:axPos val="t"/>
        <c:numFmt formatCode="d/mm/yyyy;@" sourceLinked="1"/>
        <c:majorTickMark val="out"/>
        <c:minorTickMark val="none"/>
        <c:tickLblPos val="nextTo"/>
        <c:crossAx val="11742580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523875</xdr:colOff>
      <xdr:row>1</xdr:row>
      <xdr:rowOff>11905</xdr:rowOff>
    </xdr:from>
    <xdr:to>
      <xdr:col>28</xdr:col>
      <xdr:colOff>130968</xdr:colOff>
      <xdr:row>27</xdr:row>
      <xdr:rowOff>107156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2</xdr:row>
          <xdr:rowOff>104775</xdr:rowOff>
        </xdr:from>
        <xdr:to>
          <xdr:col>13</xdr:col>
          <xdr:colOff>923925</xdr:colOff>
          <xdr:row>4</xdr:row>
          <xdr:rowOff>114300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511969</xdr:colOff>
      <xdr:row>0</xdr:row>
      <xdr:rowOff>154782</xdr:rowOff>
    </xdr:from>
    <xdr:to>
      <xdr:col>41</xdr:col>
      <xdr:colOff>35718</xdr:colOff>
      <xdr:row>27</xdr:row>
      <xdr:rowOff>119063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583405</xdr:colOff>
      <xdr:row>26</xdr:row>
      <xdr:rowOff>107156</xdr:rowOff>
    </xdr:from>
    <xdr:to>
      <xdr:col>29</xdr:col>
      <xdr:colOff>107154</xdr:colOff>
      <xdr:row>53</xdr:row>
      <xdr:rowOff>107156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476250</xdr:colOff>
      <xdr:row>26</xdr:row>
      <xdr:rowOff>130968</xdr:rowOff>
    </xdr:from>
    <xdr:to>
      <xdr:col>42</xdr:col>
      <xdr:colOff>0</xdr:colOff>
      <xdr:row>53</xdr:row>
      <xdr:rowOff>130968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tesorer\Gmdinbog\mdinero\SWAPS\ANDRES\Calibra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tesorer\Gmdinbog\mdinero\SWAPS\ANDRES\C&#225;lculos%20CDS%20y%20ASS%20141212%20COP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Macro%20Colombi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easury Bond Pricing"/>
      <sheetName val="Bootstraping Rates"/>
      <sheetName val="CDS"/>
      <sheetName val="Bootstraping Default Int"/>
    </sheetNames>
    <sheetDataSet>
      <sheetData sheetId="0" refreshError="1">
        <row r="1">
          <cell r="B1">
            <v>40577</v>
          </cell>
        </row>
        <row r="24">
          <cell r="H24">
            <v>2.8750000000000001E-2</v>
          </cell>
        </row>
        <row r="25">
          <cell r="H25">
            <v>0.01</v>
          </cell>
        </row>
      </sheetData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MKT"/>
      <sheetName val="ASSET SWAP"/>
      <sheetName val="Tabla"/>
      <sheetName val="Calibración"/>
      <sheetName val="CDS USD"/>
      <sheetName val="Curva OIS USD"/>
    </sheetNames>
    <sheetDataSet>
      <sheetData sheetId="0" refreshError="1"/>
      <sheetData sheetId="1" refreshError="1"/>
      <sheetData sheetId="2" refreshError="1">
        <row r="1">
          <cell r="M1">
            <v>0.25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oomberg"/>
      <sheetName val="Banrep Bal Fiscal"/>
      <sheetName val="Banrep Deuda"/>
      <sheetName val="Dian Imptos"/>
      <sheetName val="MinHacienda deuda"/>
      <sheetName val="RESUMEN"/>
    </sheetNames>
    <sheetDataSet>
      <sheetData sheetId="0"/>
      <sheetData sheetId="1"/>
      <sheetData sheetId="2"/>
      <sheetData sheetId="3"/>
      <sheetData sheetId="4"/>
      <sheetData sheetId="5">
        <row r="1">
          <cell r="B1" t="str">
            <v>PIB</v>
          </cell>
          <cell r="C1" t="str">
            <v>CTA CTE</v>
          </cell>
          <cell r="D1" t="str">
            <v>CTA CTE % PIB</v>
          </cell>
          <cell r="E1" t="str">
            <v>DEUDA EXTERNA</v>
          </cell>
          <cell r="F1" t="str">
            <v>DE % PIB</v>
          </cell>
          <cell r="G1" t="str">
            <v>TRM</v>
          </cell>
          <cell r="H1" t="str">
            <v>DEUDA TOTAL</v>
          </cell>
          <cell r="I1" t="str">
            <v>DT % PIB</v>
          </cell>
          <cell r="J1" t="str">
            <v>BALANCE FISCAL GNC</v>
          </cell>
          <cell r="K1" t="str">
            <v>BF GNC % PIB</v>
          </cell>
          <cell r="L1" t="str">
            <v>IMPTOS</v>
          </cell>
          <cell r="M1" t="str">
            <v>INTERESES</v>
          </cell>
          <cell r="N1" t="str">
            <v>INT % PIB</v>
          </cell>
          <cell r="O1" t="str">
            <v>IMPTOS</v>
          </cell>
          <cell r="P1" t="str">
            <v>IMPTOS % PIB</v>
          </cell>
          <cell r="Q1" t="str">
            <v>RIN</v>
          </cell>
          <cell r="R1" t="str">
            <v>RIN % PIB</v>
          </cell>
          <cell r="S1" t="str">
            <v>PFI NETA</v>
          </cell>
          <cell r="T1" t="str">
            <v>PFI NETA % PIB</v>
          </cell>
          <cell r="W1" t="str">
            <v>Variables Macroeconómicas Colombia</v>
          </cell>
          <cell r="X1"/>
          <cell r="Y1"/>
          <cell r="Z1"/>
          <cell r="AA1"/>
          <cell r="AB1"/>
          <cell r="AC1"/>
          <cell r="AD1"/>
          <cell r="AE1"/>
        </row>
        <row r="2">
          <cell r="A2">
            <v>36616</v>
          </cell>
          <cell r="B2" t="str">
            <v>#N/A N/A</v>
          </cell>
          <cell r="C2">
            <v>91.01</v>
          </cell>
          <cell r="D2"/>
          <cell r="E2">
            <v>33299</v>
          </cell>
          <cell r="W2" t="str">
            <v>Vulnerabilidad Externa</v>
          </cell>
          <cell r="X2"/>
          <cell r="Y2"/>
          <cell r="Z2"/>
          <cell r="AA2" t="str">
            <v>Capacidad Pago</v>
          </cell>
          <cell r="AB2"/>
          <cell r="AC2"/>
          <cell r="AD2"/>
          <cell r="AF2" t="str">
            <v>Condiciones Financieras</v>
          </cell>
          <cell r="AG2"/>
        </row>
        <row r="3">
          <cell r="A3">
            <v>36707</v>
          </cell>
          <cell r="B3" t="str">
            <v>#N/A N/A</v>
          </cell>
          <cell r="C3">
            <v>77.459999999999994</v>
          </cell>
          <cell r="D3"/>
          <cell r="E3">
            <v>33299</v>
          </cell>
          <cell r="U3" t="str">
            <v>GSFC</v>
          </cell>
          <cell r="V3" t="str">
            <v>EMBI Spread</v>
          </cell>
          <cell r="W3" t="str">
            <v>Z-score 1</v>
          </cell>
          <cell r="X3" t="str">
            <v>Z-score 2</v>
          </cell>
          <cell r="Y3" t="str">
            <v>Z-score 3</v>
          </cell>
          <cell r="Z3" t="str">
            <v>Z-score 4</v>
          </cell>
          <cell r="AA3" t="str">
            <v>Z-score 5</v>
          </cell>
          <cell r="AB3" t="str">
            <v>Z-score 6</v>
          </cell>
          <cell r="AC3" t="str">
            <v>Z-score 7</v>
          </cell>
          <cell r="AD3" t="str">
            <v>Z-score 8</v>
          </cell>
          <cell r="AE3" t="str">
            <v>Z-score Subtotal</v>
          </cell>
          <cell r="AF3" t="str">
            <v>Z-score 1</v>
          </cell>
          <cell r="AG3" t="str">
            <v>Z-score 2</v>
          </cell>
          <cell r="AH3" t="str">
            <v>Z-score Subotal</v>
          </cell>
          <cell r="AI3" t="str">
            <v>Z-score Total</v>
          </cell>
        </row>
        <row r="4">
          <cell r="A4">
            <v>36799</v>
          </cell>
          <cell r="B4" t="str">
            <v>#N/A N/A</v>
          </cell>
          <cell r="C4">
            <v>363.74</v>
          </cell>
          <cell r="D4"/>
          <cell r="E4">
            <v>33299</v>
          </cell>
          <cell r="W4">
            <v>0.125</v>
          </cell>
          <cell r="X4">
            <v>0.125</v>
          </cell>
          <cell r="Y4">
            <v>0.125</v>
          </cell>
          <cell r="Z4">
            <v>0.125</v>
          </cell>
          <cell r="AA4">
            <v>0.125</v>
          </cell>
          <cell r="AB4">
            <v>0.125</v>
          </cell>
          <cell r="AC4">
            <v>0.125</v>
          </cell>
          <cell r="AD4">
            <v>0.125</v>
          </cell>
          <cell r="AE4">
            <v>1</v>
          </cell>
          <cell r="AF4">
            <v>0.5</v>
          </cell>
          <cell r="AG4">
            <v>0.5</v>
          </cell>
        </row>
        <row r="5">
          <cell r="A5">
            <v>36891</v>
          </cell>
          <cell r="B5">
            <v>99.86</v>
          </cell>
          <cell r="C5">
            <v>300.32</v>
          </cell>
          <cell r="D5">
            <v>8.3369717604646499E-3</v>
          </cell>
          <cell r="E5">
            <v>33788</v>
          </cell>
          <cell r="F5">
            <v>0.33835369517324254</v>
          </cell>
          <cell r="G5">
            <v>2229.1799999999998</v>
          </cell>
          <cell r="H5">
            <v>64543.19</v>
          </cell>
          <cell r="I5">
            <v>0.2899437333369545</v>
          </cell>
          <cell r="J5">
            <v>-5180.9438638499132</v>
          </cell>
          <cell r="K5">
            <v>-2.3274062005516457E-2</v>
          </cell>
          <cell r="L5" t="str">
            <v>#N/A N/A</v>
          </cell>
          <cell r="M5">
            <v>1413.1642612267915</v>
          </cell>
          <cell r="N5">
            <v>6.3482781331145096E-3</v>
          </cell>
          <cell r="O5">
            <v>4463176.2500039991</v>
          </cell>
          <cell r="P5">
            <v>2.0049675023298165E-2</v>
          </cell>
          <cell r="Q5">
            <v>9006.09</v>
          </cell>
          <cell r="R5">
            <v>9.0187162026837575E-2</v>
          </cell>
          <cell r="S5">
            <v>-22438.73</v>
          </cell>
          <cell r="T5">
            <v>-0.22470188263568996</v>
          </cell>
          <cell r="U5">
            <v>99.47</v>
          </cell>
          <cell r="V5">
            <v>735</v>
          </cell>
          <cell r="W5">
            <v>2.2263657974751734</v>
          </cell>
          <cell r="X5">
            <v>-0.39385015144128643</v>
          </cell>
          <cell r="Y5">
            <v>-1.1655916206609309</v>
          </cell>
          <cell r="Z5">
            <v>0.86342084412114473</v>
          </cell>
          <cell r="AA5">
            <v>1.8370577496386546</v>
          </cell>
          <cell r="AB5">
            <v>0.72221670413700367</v>
          </cell>
          <cell r="AC5">
            <v>3.2133175860466121</v>
          </cell>
          <cell r="AD5">
            <v>-4.8118772078643479</v>
          </cell>
          <cell r="AE5">
            <v>0.31138246268150283</v>
          </cell>
          <cell r="AF5">
            <v>0.55388505644312303</v>
          </cell>
          <cell r="AG5">
            <v>-1.9714132846205998</v>
          </cell>
          <cell r="AH5">
            <v>-0.70876411408873841</v>
          </cell>
          <cell r="AI5">
            <v>-0.19869082570361779</v>
          </cell>
        </row>
        <row r="6">
          <cell r="A6">
            <v>36981</v>
          </cell>
          <cell r="B6">
            <v>98.48</v>
          </cell>
          <cell r="C6">
            <v>-476.96</v>
          </cell>
          <cell r="D6">
            <v>2.6864337936636879E-3</v>
          </cell>
          <cell r="E6">
            <v>36436</v>
          </cell>
          <cell r="F6">
            <v>0.36998375304630382</v>
          </cell>
          <cell r="G6">
            <v>2310.5700000000002</v>
          </cell>
          <cell r="H6">
            <v>68636.61</v>
          </cell>
          <cell r="I6">
            <v>0.30163980763753639</v>
          </cell>
          <cell r="J6">
            <v>-1319.0597488694839</v>
          </cell>
          <cell r="K6">
            <v>-2.856580241046244E-2</v>
          </cell>
          <cell r="L6" t="str">
            <v>#N/A N/A</v>
          </cell>
          <cell r="M6">
            <v>2393.620325036884</v>
          </cell>
          <cell r="N6">
            <v>1.6729814749273219E-2</v>
          </cell>
          <cell r="O6">
            <v>6239670.2165229991</v>
          </cell>
          <cell r="P6">
            <v>4.7036188840580702E-2</v>
          </cell>
          <cell r="Q6">
            <v>9284.81</v>
          </cell>
          <cell r="R6">
            <v>9.4281173842404545E-2</v>
          </cell>
          <cell r="S6">
            <v>-22837.38</v>
          </cell>
          <cell r="T6">
            <v>-0.23189865962632006</v>
          </cell>
          <cell r="U6">
            <v>100.42</v>
          </cell>
          <cell r="V6">
            <v>760</v>
          </cell>
          <cell r="W6">
            <v>1.8702949578839474</v>
          </cell>
          <cell r="X6">
            <v>-0.77509331482125954</v>
          </cell>
          <cell r="Y6">
            <v>-0.99223715870327667</v>
          </cell>
          <cell r="Z6">
            <v>0.78770622899731924</v>
          </cell>
          <cell r="AA6">
            <v>1.6079090929812785</v>
          </cell>
          <cell r="AB6">
            <v>0.21621286504545098</v>
          </cell>
          <cell r="AC6">
            <v>1.6859234409007557</v>
          </cell>
          <cell r="AD6">
            <v>-3.6538448000072523</v>
          </cell>
          <cell r="AE6">
            <v>9.3358914034620433E-2</v>
          </cell>
          <cell r="AF6">
            <v>-0.54502169372808928</v>
          </cell>
          <cell r="AG6">
            <v>-2.1192429404102953</v>
          </cell>
          <cell r="AH6">
            <v>-1.3321323170691923</v>
          </cell>
          <cell r="AI6">
            <v>-0.61938670151728592</v>
          </cell>
        </row>
        <row r="7">
          <cell r="A7">
            <v>37072</v>
          </cell>
          <cell r="B7">
            <v>97.66</v>
          </cell>
          <cell r="C7">
            <v>-289.81</v>
          </cell>
          <cell r="D7">
            <v>-1.0517100143354499E-3</v>
          </cell>
          <cell r="E7">
            <v>37559</v>
          </cell>
          <cell r="F7">
            <v>0.38458939176735613</v>
          </cell>
          <cell r="G7">
            <v>2298.85</v>
          </cell>
          <cell r="H7">
            <v>73077.028567195055</v>
          </cell>
          <cell r="I7">
            <v>0.32550189815542385</v>
          </cell>
          <cell r="J7">
            <v>-2615.5443710265554</v>
          </cell>
          <cell r="K7">
            <v>-4.0602747944353687E-2</v>
          </cell>
          <cell r="L7" t="str">
            <v>#N/A N/A</v>
          </cell>
          <cell r="M7">
            <v>2783.2661988730315</v>
          </cell>
          <cell r="N7">
            <v>2.9353602377664038E-2</v>
          </cell>
          <cell r="O7">
            <v>6951208.1019119993</v>
          </cell>
          <cell r="P7">
            <v>7.8635220736738468E-2</v>
          </cell>
          <cell r="Q7">
            <v>9275.5400000000009</v>
          </cell>
          <cell r="R7">
            <v>9.4977882449313961E-2</v>
          </cell>
          <cell r="S7">
            <v>-24538.1</v>
          </cell>
          <cell r="T7">
            <v>-0.25126049559696906</v>
          </cell>
          <cell r="U7">
            <v>100.2</v>
          </cell>
          <cell r="V7">
            <v>732</v>
          </cell>
          <cell r="W7">
            <v>1.6347343772724408</v>
          </cell>
          <cell r="X7">
            <v>-0.95113788393162535</v>
          </cell>
          <cell r="Y7">
            <v>-0.96273613351502318</v>
          </cell>
          <cell r="Z7">
            <v>0.58400755103120094</v>
          </cell>
          <cell r="AA7">
            <v>1.1404047110247972</v>
          </cell>
          <cell r="AB7">
            <v>-0.93477720343789983</v>
          </cell>
          <cell r="AC7">
            <v>-0.17136416748252115</v>
          </cell>
          <cell r="AD7">
            <v>-2.297882216606566</v>
          </cell>
          <cell r="AE7">
            <v>-0.24484387070564956</v>
          </cell>
          <cell r="AF7">
            <v>-0.29053802526738959</v>
          </cell>
          <cell r="AG7">
            <v>-1.9536737259258365</v>
          </cell>
          <cell r="AH7">
            <v>-1.1221058755966131</v>
          </cell>
          <cell r="AI7">
            <v>-0.68347487315113131</v>
          </cell>
        </row>
        <row r="8">
          <cell r="A8">
            <v>37164</v>
          </cell>
          <cell r="B8">
            <v>98.04</v>
          </cell>
          <cell r="C8">
            <v>-22.53</v>
          </cell>
          <cell r="D8">
            <v>-4.9875560995512038E-3</v>
          </cell>
          <cell r="E8">
            <v>38220</v>
          </cell>
          <cell r="F8">
            <v>0.3898408812729498</v>
          </cell>
          <cell r="G8">
            <v>2332.19</v>
          </cell>
          <cell r="H8">
            <v>78154.583290069597</v>
          </cell>
          <cell r="I8">
            <v>0.34181193307394858</v>
          </cell>
          <cell r="J8">
            <v>-1243.1429474475835</v>
          </cell>
          <cell r="K8">
            <v>-4.5304114259882851E-2</v>
          </cell>
          <cell r="L8" t="str">
            <v>#N/A N/A</v>
          </cell>
          <cell r="M8">
            <v>1686.5646022880471</v>
          </cell>
          <cell r="N8">
            <v>3.6198080596057697E-2</v>
          </cell>
          <cell r="O8">
            <v>6186796.7901248187</v>
          </cell>
          <cell r="P8">
            <v>0.1042688367840713</v>
          </cell>
          <cell r="Q8">
            <v>9768.08</v>
          </cell>
          <cell r="R8">
            <v>9.9633618931048537E-2</v>
          </cell>
          <cell r="S8">
            <v>-24003.1</v>
          </cell>
          <cell r="T8">
            <v>-0.24482966136270909</v>
          </cell>
          <cell r="U8">
            <v>100.84</v>
          </cell>
          <cell r="V8">
            <v>937</v>
          </cell>
          <cell r="W8">
            <v>1.386715511051454</v>
          </cell>
          <cell r="X8">
            <v>-1.0144350957041783</v>
          </cell>
          <cell r="Y8">
            <v>-0.76559632807067879</v>
          </cell>
          <cell r="Z8">
            <v>0.65166396717498987</v>
          </cell>
          <cell r="AA8">
            <v>0.82085966577582015</v>
          </cell>
          <cell r="AB8">
            <v>-1.3843286217973476</v>
          </cell>
          <cell r="AC8">
            <v>-1.1783649944199304</v>
          </cell>
          <cell r="AD8">
            <v>-1.1979047124960975</v>
          </cell>
          <cell r="AE8">
            <v>-0.33517382606074608</v>
          </cell>
          <cell r="AF8">
            <v>-1.0308541516985206</v>
          </cell>
          <cell r="AG8">
            <v>-3.1658769034013368</v>
          </cell>
          <cell r="AH8">
            <v>-2.0983655275499284</v>
          </cell>
          <cell r="AI8">
            <v>-1.2167696768053373</v>
          </cell>
        </row>
        <row r="9">
          <cell r="A9">
            <v>37256</v>
          </cell>
          <cell r="B9">
            <v>98.2</v>
          </cell>
          <cell r="C9">
            <v>-248.41</v>
          </cell>
          <cell r="D9">
            <v>-1.0567311608961304E-2</v>
          </cell>
          <cell r="E9">
            <v>39163</v>
          </cell>
          <cell r="F9">
            <v>0.39880855397148673</v>
          </cell>
          <cell r="G9">
            <v>2291.1799999999998</v>
          </cell>
          <cell r="H9">
            <v>85977.81480716115</v>
          </cell>
          <cell r="I9">
            <v>0.3821340222040584</v>
          </cell>
          <cell r="J9">
            <v>-5991.8083762406368</v>
          </cell>
          <cell r="K9">
            <v>-4.9643819832608516E-2</v>
          </cell>
          <cell r="L9" t="str">
            <v>#N/A N/A</v>
          </cell>
          <cell r="M9">
            <v>1476.6798924671064</v>
          </cell>
          <cell r="N9">
            <v>3.7068257887450551E-2</v>
          </cell>
          <cell r="O9">
            <v>5492084.0827080002</v>
          </cell>
          <cell r="P9">
            <v>0.11053527159676034</v>
          </cell>
          <cell r="Q9">
            <v>10245.11</v>
          </cell>
          <cell r="R9">
            <v>0.10432902240325866</v>
          </cell>
          <cell r="S9">
            <v>-25141.88</v>
          </cell>
          <cell r="T9">
            <v>-0.25602729124236251</v>
          </cell>
          <cell r="U9">
            <v>100.35</v>
          </cell>
          <cell r="V9">
            <v>728</v>
          </cell>
          <cell r="W9">
            <v>1.0351050554412884</v>
          </cell>
          <cell r="X9">
            <v>-1.1225241773450381</v>
          </cell>
          <cell r="Y9">
            <v>-0.56677688658688263</v>
          </cell>
          <cell r="Z9">
            <v>0.53385786622996412</v>
          </cell>
          <cell r="AA9">
            <v>3.0872160538788249E-2</v>
          </cell>
          <cell r="AB9">
            <v>-1.7992975190383693</v>
          </cell>
          <cell r="AC9">
            <v>-1.3063907144317053</v>
          </cell>
          <cell r="AD9">
            <v>-0.9290024510202004</v>
          </cell>
          <cell r="AE9">
            <v>-0.51551958327651937</v>
          </cell>
          <cell r="AF9">
            <v>-0.46404961739967587</v>
          </cell>
          <cell r="AG9">
            <v>-1.9300209809994853</v>
          </cell>
          <cell r="AH9">
            <v>-1.1970352991995805</v>
          </cell>
          <cell r="AI9">
            <v>-0.85627744123804994</v>
          </cell>
        </row>
        <row r="10">
          <cell r="A10">
            <v>37346</v>
          </cell>
          <cell r="B10">
            <v>99.25</v>
          </cell>
          <cell r="C10">
            <v>-243.26</v>
          </cell>
          <cell r="D10">
            <v>-8.1008564231738033E-3</v>
          </cell>
          <cell r="E10">
            <v>38208</v>
          </cell>
          <cell r="F10">
            <v>0.38496725440806046</v>
          </cell>
          <cell r="G10">
            <v>2261.23</v>
          </cell>
          <cell r="H10">
            <v>87458.045413410975</v>
          </cell>
          <cell r="I10">
            <v>0.38969471236558328</v>
          </cell>
          <cell r="J10">
            <v>-517.74734564562823</v>
          </cell>
          <cell r="K10">
            <v>-4.6198716999112571E-2</v>
          </cell>
          <cell r="L10" t="str">
            <v>#N/A N/A</v>
          </cell>
          <cell r="M10">
            <v>2399.2845758146514</v>
          </cell>
          <cell r="N10">
            <v>3.7187113793979855E-2</v>
          </cell>
          <cell r="O10">
            <v>6340579.8546159994</v>
          </cell>
          <cell r="P10">
            <v>0.11126406451271825</v>
          </cell>
          <cell r="Q10">
            <v>10232.709999999999</v>
          </cell>
          <cell r="R10">
            <v>0.10310035264483626</v>
          </cell>
          <cell r="S10">
            <v>-25648.19</v>
          </cell>
          <cell r="T10">
            <v>-0.25842005037783378</v>
          </cell>
          <cell r="U10">
            <v>100.63</v>
          </cell>
          <cell r="V10">
            <v>568</v>
          </cell>
          <cell r="W10">
            <v>1.1905296847380806</v>
          </cell>
          <cell r="X10">
            <v>-0.95569233492388606</v>
          </cell>
          <cell r="Y10">
            <v>-0.61880296625892151</v>
          </cell>
          <cell r="Z10">
            <v>0.50868453693796356</v>
          </cell>
          <cell r="AA10">
            <v>-0.11725634389708667</v>
          </cell>
          <cell r="AB10">
            <v>-1.46987182419801</v>
          </cell>
          <cell r="AC10">
            <v>-1.323877510699061</v>
          </cell>
          <cell r="AD10">
            <v>-0.89772883705842044</v>
          </cell>
          <cell r="AE10">
            <v>-0.46050194941991773</v>
          </cell>
          <cell r="AF10">
            <v>-0.78793792271329666</v>
          </cell>
          <cell r="AG10">
            <v>-0.98391118394543575</v>
          </cell>
          <cell r="AH10">
            <v>-0.88592455332936626</v>
          </cell>
          <cell r="AI10">
            <v>-0.67321325137464205</v>
          </cell>
        </row>
        <row r="11">
          <cell r="A11">
            <v>37437</v>
          </cell>
          <cell r="B11">
            <v>101.42</v>
          </cell>
          <cell r="C11">
            <v>-350.13</v>
          </cell>
          <cell r="D11">
            <v>-8.5222835732597126E-3</v>
          </cell>
          <cell r="E11">
            <v>37614</v>
          </cell>
          <cell r="F11">
            <v>0.37087359495168604</v>
          </cell>
          <cell r="G11">
            <v>2398.8200000000002</v>
          </cell>
          <cell r="H11">
            <v>92715.356937661621</v>
          </cell>
          <cell r="I11">
            <v>0.3810925048142656</v>
          </cell>
          <cell r="J11">
            <v>-4679.5282165868357</v>
          </cell>
          <cell r="K11">
            <v>-5.1100795389919192E-2</v>
          </cell>
          <cell r="L11" t="str">
            <v>#N/A N/A</v>
          </cell>
          <cell r="M11">
            <v>2749.7720126197946</v>
          </cell>
          <cell r="N11">
            <v>3.4166461147239494E-2</v>
          </cell>
          <cell r="O11">
            <v>6875248.310664</v>
          </cell>
          <cell r="P11">
            <v>0.10232595049313765</v>
          </cell>
          <cell r="Q11">
            <v>10820.81</v>
          </cell>
          <cell r="R11">
            <v>0.10669305856832971</v>
          </cell>
          <cell r="S11">
            <v>-26361.040000000001</v>
          </cell>
          <cell r="T11">
            <v>-0.25991954249654897</v>
          </cell>
          <cell r="U11">
            <v>101.14</v>
          </cell>
          <cell r="V11">
            <v>756</v>
          </cell>
          <cell r="W11">
            <v>1.1639732895701738</v>
          </cell>
          <cell r="X11">
            <v>-0.78581875023707359</v>
          </cell>
          <cell r="Y11">
            <v>-0.46667551025815451</v>
          </cell>
          <cell r="Z11">
            <v>0.49290893783331624</v>
          </cell>
          <cell r="AA11">
            <v>5.1277495236811105E-2</v>
          </cell>
          <cell r="AB11">
            <v>-1.9386156202764215</v>
          </cell>
          <cell r="AC11">
            <v>-0.87946091441510033</v>
          </cell>
          <cell r="AD11">
            <v>-1.2812769222196649</v>
          </cell>
          <cell r="AE11">
            <v>-0.45546099934576423</v>
          </cell>
          <cell r="AF11">
            <v>-1.3778773359631096</v>
          </cell>
          <cell r="AG11">
            <v>-2.0955901954839438</v>
          </cell>
          <cell r="AH11">
            <v>-1.7367337657235267</v>
          </cell>
          <cell r="AI11">
            <v>-1.0960973825346454</v>
          </cell>
        </row>
        <row r="12">
          <cell r="A12">
            <v>37529</v>
          </cell>
          <cell r="B12">
            <v>100.45</v>
          </cell>
          <cell r="C12">
            <v>-306.87</v>
          </cell>
          <cell r="D12">
            <v>-1.1435241413638627E-2</v>
          </cell>
          <cell r="E12">
            <v>37975</v>
          </cell>
          <cell r="F12">
            <v>0.37804878048780488</v>
          </cell>
          <cell r="G12">
            <v>2828.08</v>
          </cell>
          <cell r="H12">
            <v>101597.32618542091</v>
          </cell>
          <cell r="I12">
            <v>0.35763552073088473</v>
          </cell>
          <cell r="J12">
            <v>-2184.2093968663612</v>
          </cell>
          <cell r="K12">
            <v>-4.7075694857777857E-2</v>
          </cell>
          <cell r="L12" t="str">
            <v>#N/A N/A</v>
          </cell>
          <cell r="M12">
            <v>2141.4144229160811</v>
          </cell>
          <cell r="N12">
            <v>3.0861487172316925E-2</v>
          </cell>
          <cell r="O12">
            <v>7579497.2629960012</v>
          </cell>
          <cell r="P12">
            <v>9.2535027663708844E-2</v>
          </cell>
          <cell r="Q12">
            <v>10729.79</v>
          </cell>
          <cell r="R12">
            <v>0.10681722249875561</v>
          </cell>
          <cell r="S12">
            <v>-26114.63</v>
          </cell>
          <cell r="T12">
            <v>-0.25997640617222501</v>
          </cell>
          <cell r="U12">
            <v>102.1</v>
          </cell>
          <cell r="V12">
            <v>932</v>
          </cell>
          <cell r="W12">
            <v>0.98041212247217013</v>
          </cell>
          <cell r="X12">
            <v>-0.87230263978942058</v>
          </cell>
          <cell r="Y12">
            <v>-0.46141798479824114</v>
          </cell>
          <cell r="Z12">
            <v>0.49231069624212309</v>
          </cell>
          <cell r="AA12">
            <v>0.51084506071241353</v>
          </cell>
          <cell r="AB12">
            <v>-1.5537297101343956</v>
          </cell>
          <cell r="AC12">
            <v>-0.39321325322600198</v>
          </cell>
          <cell r="AD12">
            <v>-1.7014203322234167</v>
          </cell>
          <cell r="AE12">
            <v>-0.37481450509309616</v>
          </cell>
          <cell r="AF12">
            <v>-2.4883515256097977</v>
          </cell>
          <cell r="AG12">
            <v>-3.1363109722433977</v>
          </cell>
          <cell r="AH12">
            <v>-2.8123312489265979</v>
          </cell>
          <cell r="AI12">
            <v>-1.593572877009847</v>
          </cell>
        </row>
        <row r="13">
          <cell r="A13">
            <v>37621</v>
          </cell>
          <cell r="B13">
            <v>98.37</v>
          </cell>
          <cell r="C13">
            <v>-402.19</v>
          </cell>
          <cell r="D13">
            <v>-1.3240317169868863E-2</v>
          </cell>
          <cell r="E13">
            <v>37382</v>
          </cell>
          <cell r="F13">
            <v>0.38001423198129514</v>
          </cell>
          <cell r="G13">
            <v>2864.79</v>
          </cell>
          <cell r="H13">
            <v>104978.06237183631</v>
          </cell>
          <cell r="I13">
            <v>0.37251442017263209</v>
          </cell>
          <cell r="J13">
            <v>-3753.6478156407857</v>
          </cell>
          <cell r="K13">
            <v>-3.9512993814222172E-2</v>
          </cell>
          <cell r="L13" t="str">
            <v>#N/A N/A</v>
          </cell>
          <cell r="M13">
            <v>1460.9544172761925</v>
          </cell>
          <cell r="N13">
            <v>3.1054413613405746E-2</v>
          </cell>
          <cell r="O13">
            <v>6758068.7223260012</v>
          </cell>
          <cell r="P13">
            <v>9.7773157685497075E-2</v>
          </cell>
          <cell r="Q13">
            <v>10844.13</v>
          </cell>
          <cell r="R13">
            <v>0.11023818237267459</v>
          </cell>
          <cell r="S13">
            <v>-27163.55</v>
          </cell>
          <cell r="T13">
            <v>-0.27613652536342381</v>
          </cell>
          <cell r="U13">
            <v>101.37</v>
          </cell>
          <cell r="V13">
            <v>725</v>
          </cell>
          <cell r="W13">
            <v>0.86666457421694609</v>
          </cell>
          <cell r="X13">
            <v>-0.8959926041851638</v>
          </cell>
          <cell r="Y13">
            <v>-0.3165628439149164</v>
          </cell>
          <cell r="Z13">
            <v>0.32229609018863764</v>
          </cell>
          <cell r="AA13">
            <v>0.21933872003817842</v>
          </cell>
          <cell r="AB13">
            <v>-0.83057334396719873</v>
          </cell>
          <cell r="AC13">
            <v>-0.42159775230913732</v>
          </cell>
          <cell r="AD13">
            <v>-1.4766441954141019</v>
          </cell>
          <cell r="AE13">
            <v>-0.31663391941834451</v>
          </cell>
          <cell r="AF13">
            <v>-1.6439284438993016</v>
          </cell>
          <cell r="AG13">
            <v>-1.9122814223047218</v>
          </cell>
          <cell r="AH13">
            <v>-1.7781049331020116</v>
          </cell>
          <cell r="AI13">
            <v>-1.047369426260178</v>
          </cell>
        </row>
        <row r="14">
          <cell r="A14">
            <v>37711</v>
          </cell>
          <cell r="B14">
            <v>95.39</v>
          </cell>
          <cell r="C14">
            <v>-605.99</v>
          </cell>
          <cell r="D14">
            <v>-1.7456546807841495E-2</v>
          </cell>
          <cell r="E14">
            <v>37962</v>
          </cell>
          <cell r="F14">
            <v>0.39796624384107349</v>
          </cell>
          <cell r="G14">
            <v>2958.25</v>
          </cell>
          <cell r="H14">
            <v>111276.44373763767</v>
          </cell>
          <cell r="I14">
            <v>0.39433517272569046</v>
          </cell>
          <cell r="J14">
            <v>-1973.7346473654889</v>
          </cell>
          <cell r="K14">
            <v>-4.4619699762036634E-2</v>
          </cell>
          <cell r="L14" t="str">
            <v>#N/A N/A</v>
          </cell>
          <cell r="M14">
            <v>3558.5385857342644</v>
          </cell>
          <cell r="N14">
            <v>3.5120905709770167E-2</v>
          </cell>
          <cell r="O14">
            <v>8051605.8292504903</v>
          </cell>
          <cell r="P14">
            <v>0.10370559821277853</v>
          </cell>
          <cell r="Q14">
            <v>10620.48</v>
          </cell>
          <cell r="R14">
            <v>0.11133745675647341</v>
          </cell>
          <cell r="S14">
            <v>-28636.42</v>
          </cell>
          <cell r="T14">
            <v>-0.300203585281476</v>
          </cell>
          <cell r="U14">
            <v>101.46</v>
          </cell>
          <cell r="V14">
            <v>626</v>
          </cell>
          <cell r="W14">
            <v>0.60097722976887924</v>
          </cell>
          <cell r="X14">
            <v>-1.1123716515433308</v>
          </cell>
          <cell r="Y14">
            <v>-0.27001580694187183</v>
          </cell>
          <cell r="Z14">
            <v>6.9095500364910328E-2</v>
          </cell>
          <cell r="AA14">
            <v>-0.20817191355428874</v>
          </cell>
          <cell r="AB14">
            <v>-1.3188839217670107</v>
          </cell>
          <cell r="AC14">
            <v>-1.0198845424940675</v>
          </cell>
          <cell r="AD14">
            <v>-1.2220741373921153</v>
          </cell>
          <cell r="AE14">
            <v>-0.56016615544486192</v>
          </cell>
          <cell r="AF14">
            <v>-1.7480353991786668</v>
          </cell>
          <cell r="AG14">
            <v>-1.3268759853775287</v>
          </cell>
          <cell r="AH14">
            <v>-1.5374556922780978</v>
          </cell>
          <cell r="AI14">
            <v>-1.0488109238614798</v>
          </cell>
        </row>
        <row r="15">
          <cell r="A15">
            <v>37802</v>
          </cell>
          <cell r="B15">
            <v>92.45</v>
          </cell>
          <cell r="C15">
            <v>-76.77</v>
          </cell>
          <cell r="D15">
            <v>-1.505484045429962E-2</v>
          </cell>
          <cell r="E15">
            <v>37991</v>
          </cell>
          <cell r="F15">
            <v>0.41093564088696594</v>
          </cell>
          <cell r="G15">
            <v>2817.32</v>
          </cell>
          <cell r="H15">
            <v>111064.60586180577</v>
          </cell>
          <cell r="I15">
            <v>0.42641511044137093</v>
          </cell>
          <cell r="J15">
            <v>-2274.4009117249389</v>
          </cell>
          <cell r="K15">
            <v>-3.9107519438372831E-2</v>
          </cell>
          <cell r="L15" t="str">
            <v>#N/A N/A</v>
          </cell>
          <cell r="M15">
            <v>3089.341544558888</v>
          </cell>
          <cell r="N15">
            <v>3.9354221021948417E-2</v>
          </cell>
          <cell r="O15">
            <v>8674510.4668240994</v>
          </cell>
          <cell r="P15">
            <v>0.1192641292692201</v>
          </cell>
          <cell r="Q15">
            <v>10504.84</v>
          </cell>
          <cell r="R15">
            <v>0.11362725797728501</v>
          </cell>
          <cell r="S15">
            <v>-28717.11</v>
          </cell>
          <cell r="T15">
            <v>-0.31062314764737697</v>
          </cell>
          <cell r="U15">
            <v>100.25</v>
          </cell>
          <cell r="V15">
            <v>515</v>
          </cell>
          <cell r="W15">
            <v>0.75232168631119922</v>
          </cell>
          <cell r="X15">
            <v>-1.2686942854363927</v>
          </cell>
          <cell r="Y15">
            <v>-0.17305779203961089</v>
          </cell>
          <cell r="Z15">
            <v>-4.0524841535362649E-2</v>
          </cell>
          <cell r="AA15">
            <v>-0.83667977390831783</v>
          </cell>
          <cell r="AB15">
            <v>-0.79180130015317263</v>
          </cell>
          <cell r="AC15">
            <v>-1.6427153681652129</v>
          </cell>
          <cell r="AD15">
            <v>-0.55443387440742709</v>
          </cell>
          <cell r="AE15">
            <v>-0.56944819366678712</v>
          </cell>
          <cell r="AF15">
            <v>-0.34837522264481835</v>
          </cell>
          <cell r="AG15">
            <v>-0.67051231367128195</v>
          </cell>
          <cell r="AH15">
            <v>-0.50944376815805015</v>
          </cell>
          <cell r="AI15">
            <v>-0.53944598091241858</v>
          </cell>
        </row>
        <row r="16">
          <cell r="A16">
            <v>37894</v>
          </cell>
          <cell r="B16">
            <v>92.73</v>
          </cell>
          <cell r="C16">
            <v>49.55</v>
          </cell>
          <cell r="D16">
            <v>-1.1165750026959992E-2</v>
          </cell>
          <cell r="E16">
            <v>37771</v>
          </cell>
          <cell r="F16">
            <v>0.40732233365685322</v>
          </cell>
          <cell r="G16">
            <v>2889.39</v>
          </cell>
          <cell r="H16">
            <v>115935.96620694744</v>
          </cell>
          <cell r="I16">
            <v>0.43270484756116073</v>
          </cell>
          <cell r="J16">
            <v>-1580.0515023386561</v>
          </cell>
          <cell r="K16">
            <v>-3.5762037747957075E-2</v>
          </cell>
          <cell r="L16" t="str">
            <v>#N/A N/A</v>
          </cell>
          <cell r="M16">
            <v>2392.5960563083754</v>
          </cell>
          <cell r="N16">
            <v>3.9194221407650782E-2</v>
          </cell>
          <cell r="O16">
            <v>8357643.2890168307</v>
          </cell>
          <cell r="P16">
            <v>0.11884244307099288</v>
          </cell>
          <cell r="Q16">
            <v>10867.33</v>
          </cell>
          <cell r="R16">
            <v>0.11719324921816024</v>
          </cell>
          <cell r="S16">
            <v>-29466.82</v>
          </cell>
          <cell r="T16">
            <v>-0.31777008519357269</v>
          </cell>
          <cell r="U16">
            <v>100.29</v>
          </cell>
          <cell r="V16">
            <v>486</v>
          </cell>
          <cell r="W16">
            <v>0.99739422663305799</v>
          </cell>
          <cell r="X16">
            <v>-1.2251423993095851</v>
          </cell>
          <cell r="Y16">
            <v>-2.206152706619809E-2</v>
          </cell>
          <cell r="Z16">
            <v>-0.11571511439344238</v>
          </cell>
          <cell r="AA16">
            <v>-0.95990785665537792</v>
          </cell>
          <cell r="AB16">
            <v>-0.47190152249615613</v>
          </cell>
          <cell r="AC16">
            <v>-1.6191752619998672</v>
          </cell>
          <cell r="AD16">
            <v>-0.57252907139357645</v>
          </cell>
          <cell r="AE16">
            <v>-0.49862981583514321</v>
          </cell>
          <cell r="AF16">
            <v>-0.39464498054677122</v>
          </cell>
          <cell r="AG16">
            <v>-0.49902991295523547</v>
          </cell>
          <cell r="AH16">
            <v>-0.44683744675100334</v>
          </cell>
          <cell r="AI16">
            <v>-0.47273363129307328</v>
          </cell>
        </row>
        <row r="17">
          <cell r="A17">
            <v>37986</v>
          </cell>
          <cell r="B17">
            <v>94.74</v>
          </cell>
          <cell r="C17">
            <v>-312.77</v>
          </cell>
          <cell r="D17">
            <v>-9.9850116107240879E-3</v>
          </cell>
          <cell r="E17">
            <v>38065</v>
          </cell>
          <cell r="F17">
            <v>0.40178382942790797</v>
          </cell>
          <cell r="G17">
            <v>2778.21</v>
          </cell>
          <cell r="H17">
            <v>117760.66139787437</v>
          </cell>
          <cell r="I17">
            <v>0.44740598108801671</v>
          </cell>
          <cell r="J17">
            <v>-5300.0973736390897</v>
          </cell>
          <cell r="K17">
            <v>-4.2279492628495487E-2</v>
          </cell>
          <cell r="L17" t="str">
            <v>#N/A N/A</v>
          </cell>
          <cell r="M17">
            <v>1268.6799467221874</v>
          </cell>
          <cell r="N17">
            <v>3.9167393077349837E-2</v>
          </cell>
          <cell r="O17">
            <v>7201490.6312252898</v>
          </cell>
          <cell r="P17">
            <v>0.12266077547662288</v>
          </cell>
          <cell r="Q17">
            <v>10921.35</v>
          </cell>
          <cell r="R17">
            <v>0.11527707409753009</v>
          </cell>
          <cell r="S17">
            <v>-29407.5</v>
          </cell>
          <cell r="T17">
            <v>-0.31040215326155796</v>
          </cell>
          <cell r="U17">
            <v>99.67</v>
          </cell>
          <cell r="V17">
            <v>403</v>
          </cell>
          <cell r="W17">
            <v>1.0717989154745271</v>
          </cell>
          <cell r="X17">
            <v>-1.1583857439436527</v>
          </cell>
          <cell r="Y17">
            <v>-0.10319893507035174</v>
          </cell>
          <cell r="Z17">
            <v>-3.8199841762742465E-2</v>
          </cell>
          <cell r="AA17">
            <v>-1.2479314201558391</v>
          </cell>
          <cell r="AB17">
            <v>-1.0951099451119057</v>
          </cell>
          <cell r="AC17">
            <v>-1.6152281165877012</v>
          </cell>
          <cell r="AD17">
            <v>-0.40867861261891519</v>
          </cell>
          <cell r="AE17">
            <v>-0.5743667124720726</v>
          </cell>
          <cell r="AF17">
            <v>0.32253626693339155</v>
          </cell>
          <cell r="AG17">
            <v>-8.2354557334473177E-3</v>
          </cell>
          <cell r="AH17">
            <v>0.15715040559997212</v>
          </cell>
          <cell r="AI17">
            <v>-0.20860815343605024</v>
          </cell>
        </row>
        <row r="18">
          <cell r="A18">
            <v>38077</v>
          </cell>
          <cell r="B18">
            <v>99.59</v>
          </cell>
          <cell r="C18">
            <v>-607.04999999999995</v>
          </cell>
          <cell r="D18">
            <v>-9.5093884928205644E-3</v>
          </cell>
          <cell r="E18">
            <v>37754</v>
          </cell>
          <cell r="F18">
            <v>0.37909428657495731</v>
          </cell>
          <cell r="G18">
            <v>2678.16</v>
          </cell>
          <cell r="H18">
            <v>120228.98567729082</v>
          </cell>
          <cell r="I18">
            <v>0.45077199976189841</v>
          </cell>
          <cell r="J18">
            <v>-2419.8396281473224</v>
          </cell>
          <cell r="K18">
            <v>-4.3395614074378225E-2</v>
          </cell>
          <cell r="L18" t="str">
            <v>#N/A N/A</v>
          </cell>
          <cell r="M18">
            <v>3438.4724678491743</v>
          </cell>
          <cell r="N18">
            <v>3.8201740255393267E-2</v>
          </cell>
          <cell r="O18">
            <v>8761406.6285050008</v>
          </cell>
          <cell r="P18">
            <v>0.12370764874001756</v>
          </cell>
          <cell r="Q18">
            <v>11331.88</v>
          </cell>
          <cell r="R18">
            <v>0.11378531981122603</v>
          </cell>
          <cell r="S18">
            <v>-31006.14</v>
          </cell>
          <cell r="T18">
            <v>-0.31133788532985235</v>
          </cell>
          <cell r="U18">
            <v>99.56</v>
          </cell>
          <cell r="V18">
            <v>414</v>
          </cell>
          <cell r="W18">
            <v>1.1017704905556844</v>
          </cell>
          <cell r="X18">
            <v>-0.88490432548973297</v>
          </cell>
          <cell r="Y18">
            <v>-0.16636491341266191</v>
          </cell>
          <cell r="Z18">
            <v>-4.8044330969810166E-2</v>
          </cell>
          <cell r="AA18">
            <v>-1.3138782188492486</v>
          </cell>
          <cell r="AB18">
            <v>-1.2018350852909703</v>
          </cell>
          <cell r="AC18">
            <v>-1.4731554619284355</v>
          </cell>
          <cell r="AD18">
            <v>-0.36375568651818335</v>
          </cell>
          <cell r="AE18">
            <v>-0.54377094148791971</v>
          </cell>
          <cell r="AF18">
            <v>0.4497781011637414</v>
          </cell>
          <cell r="AG18">
            <v>-7.328050428091322E-2</v>
          </cell>
          <cell r="AH18">
            <v>0.18824879844141409</v>
          </cell>
          <cell r="AI18">
            <v>-0.17776107152325282</v>
          </cell>
        </row>
        <row r="19">
          <cell r="A19">
            <v>38168</v>
          </cell>
          <cell r="B19">
            <v>104.17</v>
          </cell>
          <cell r="C19">
            <v>-218.73</v>
          </cell>
          <cell r="D19">
            <v>-1.0454065469904962E-2</v>
          </cell>
          <cell r="E19">
            <v>37635</v>
          </cell>
          <cell r="F19">
            <v>0.36128443889795525</v>
          </cell>
          <cell r="G19">
            <v>2699.58</v>
          </cell>
          <cell r="H19">
            <v>120196.6365506929</v>
          </cell>
          <cell r="I19">
            <v>0.42741863092090127</v>
          </cell>
          <cell r="J19">
            <v>-879.00258967977152</v>
          </cell>
          <cell r="K19">
            <v>-3.6196440785056481E-2</v>
          </cell>
          <cell r="L19" t="str">
            <v>#N/A N/A</v>
          </cell>
          <cell r="M19">
            <v>3077.6256542403717</v>
          </cell>
          <cell r="N19">
            <v>3.6190690852601612E-2</v>
          </cell>
          <cell r="O19">
            <v>11100410.172862001</v>
          </cell>
          <cell r="P19">
            <v>0.1259567214009501</v>
          </cell>
          <cell r="Q19">
            <v>11591.44</v>
          </cell>
          <cell r="R19">
            <v>0.11127426322357685</v>
          </cell>
          <cell r="S19">
            <v>-30617.1</v>
          </cell>
          <cell r="T19">
            <v>-0.29391475472784867</v>
          </cell>
          <cell r="U19">
            <v>100.02</v>
          </cell>
          <cell r="V19">
            <v>482</v>
          </cell>
          <cell r="W19">
            <v>1.0422413047774002</v>
          </cell>
          <cell r="X19">
            <v>-0.67023881033496802</v>
          </cell>
          <cell r="Y19">
            <v>-0.27269163724915929</v>
          </cell>
          <cell r="Z19">
            <v>0.13525794857843479</v>
          </cell>
          <cell r="AA19">
            <v>-0.85634067584026796</v>
          </cell>
          <cell r="AB19">
            <v>-0.51343976656419144</v>
          </cell>
          <cell r="AC19">
            <v>-1.1772777708897078</v>
          </cell>
          <cell r="AD19">
            <v>-0.26724455334182945</v>
          </cell>
          <cell r="AE19">
            <v>-0.32246674510803613</v>
          </cell>
          <cell r="AF19">
            <v>-8.2324114708626286E-2</v>
          </cell>
          <cell r="AG19">
            <v>-0.47537716802888424</v>
          </cell>
          <cell r="AH19">
            <v>-0.27885064136875526</v>
          </cell>
          <cell r="AI19">
            <v>-0.30065869323839567</v>
          </cell>
        </row>
        <row r="20">
          <cell r="A20">
            <v>38260</v>
          </cell>
          <cell r="B20">
            <v>109.95</v>
          </cell>
          <cell r="C20">
            <v>115.14</v>
          </cell>
          <cell r="D20">
            <v>-9.3079581628012723E-3</v>
          </cell>
          <cell r="E20">
            <v>38352</v>
          </cell>
          <cell r="F20">
            <v>0.34881309686221007</v>
          </cell>
          <cell r="G20">
            <v>2595.17</v>
          </cell>
          <cell r="H20">
            <v>122735.01152255437</v>
          </cell>
          <cell r="I20">
            <v>0.43013761415581042</v>
          </cell>
          <cell r="J20">
            <v>-2064.8603567125665</v>
          </cell>
          <cell r="K20">
            <v>-3.7372396112918045E-2</v>
          </cell>
          <cell r="L20" t="str">
            <v>#N/A N/A</v>
          </cell>
          <cell r="M20">
            <v>2766.6286274561844</v>
          </cell>
          <cell r="N20">
            <v>3.6978502271019037E-2</v>
          </cell>
          <cell r="O20">
            <v>9616317.2449930012</v>
          </cell>
          <cell r="P20">
            <v>0.1285475599116053</v>
          </cell>
          <cell r="Q20">
            <v>12131.23</v>
          </cell>
          <cell r="R20">
            <v>0.11033406093678945</v>
          </cell>
          <cell r="S20">
            <v>-31094.93</v>
          </cell>
          <cell r="T20">
            <v>-0.28280973169622559</v>
          </cell>
          <cell r="U20">
            <v>99.92</v>
          </cell>
          <cell r="V20">
            <v>409</v>
          </cell>
          <cell r="W20">
            <v>1.1144637008571654</v>
          </cell>
          <cell r="X20">
            <v>-0.5199193291508839</v>
          </cell>
          <cell r="Y20">
            <v>-0.31250301760171312</v>
          </cell>
          <cell r="Z20">
            <v>0.25208976730440935</v>
          </cell>
          <cell r="AA20">
            <v>-0.90961080218705104</v>
          </cell>
          <cell r="AB20">
            <v>-0.62588630871541984</v>
          </cell>
          <cell r="AC20">
            <v>-1.2931853279749383</v>
          </cell>
          <cell r="AD20">
            <v>-0.15606772705085775</v>
          </cell>
          <cell r="AE20">
            <v>-0.30632738056491116</v>
          </cell>
          <cell r="AF20">
            <v>3.3350280046231258E-2</v>
          </cell>
          <cell r="AG20">
            <v>-4.3714573122974172E-2</v>
          </cell>
          <cell r="AH20">
            <v>-5.1821465383714571E-3</v>
          </cell>
          <cell r="AI20">
            <v>-0.15575476355164131</v>
          </cell>
        </row>
        <row r="21">
          <cell r="A21">
            <v>38352</v>
          </cell>
          <cell r="B21">
            <v>117.49</v>
          </cell>
          <cell r="C21">
            <v>-71.349999999999994</v>
          </cell>
          <cell r="D21">
            <v>-6.6558004936590346E-3</v>
          </cell>
          <cell r="E21">
            <v>39497</v>
          </cell>
          <cell r="F21">
            <v>0.33617329134394419</v>
          </cell>
          <cell r="G21">
            <v>2389.75</v>
          </cell>
          <cell r="H21">
            <v>121987.10283041355</v>
          </cell>
          <cell r="I21">
            <v>0.434470749304392</v>
          </cell>
          <cell r="J21">
            <v>-6118.6415959101823</v>
          </cell>
          <cell r="K21">
            <v>-4.0895656669882631E-2</v>
          </cell>
          <cell r="L21" t="str">
            <v>#N/A N/A</v>
          </cell>
          <cell r="M21">
            <v>1551.2267152966442</v>
          </cell>
          <cell r="N21">
            <v>3.8586340445700244E-2</v>
          </cell>
          <cell r="O21">
            <v>8386937.0681880014</v>
          </cell>
          <cell r="P21">
            <v>0.13486069787617061</v>
          </cell>
          <cell r="Q21">
            <v>13539.87</v>
          </cell>
          <cell r="R21">
            <v>0.11524274406332455</v>
          </cell>
          <cell r="S21">
            <v>-32083.74</v>
          </cell>
          <cell r="T21">
            <v>-0.27307634692314242</v>
          </cell>
          <cell r="U21">
            <v>99.25</v>
          </cell>
          <cell r="V21">
            <v>347</v>
          </cell>
          <cell r="W21">
            <v>1.281590444103248</v>
          </cell>
          <cell r="X21">
            <v>-0.36756932525173081</v>
          </cell>
          <cell r="Y21">
            <v>-0.10465258612872445</v>
          </cell>
          <cell r="Z21">
            <v>0.35449108985554384</v>
          </cell>
          <cell r="AA21">
            <v>-0.99450527813638123</v>
          </cell>
          <cell r="AB21">
            <v>-0.96278555764260165</v>
          </cell>
          <cell r="AC21">
            <v>-1.529740156527742</v>
          </cell>
          <cell r="AD21">
            <v>0.11483863780007986</v>
          </cell>
          <cell r="AE21">
            <v>-0.27604159149103857</v>
          </cell>
          <cell r="AF21">
            <v>0.80836872490382272</v>
          </cell>
          <cell r="AG21">
            <v>0.32290297323546996</v>
          </cell>
          <cell r="AH21">
            <v>0.56563584906964637</v>
          </cell>
          <cell r="AI21">
            <v>0.1447971287893039</v>
          </cell>
        </row>
        <row r="22">
          <cell r="A22">
            <v>38442</v>
          </cell>
          <cell r="B22">
            <v>124.94</v>
          </cell>
          <cell r="C22">
            <v>-547.67999999999995</v>
          </cell>
          <cell r="D22">
            <v>-5.783736193372818E-3</v>
          </cell>
          <cell r="E22">
            <v>39139</v>
          </cell>
          <cell r="F22">
            <v>0.3132623659356491</v>
          </cell>
          <cell r="G22">
            <v>2376.48</v>
          </cell>
          <cell r="H22">
            <v>128466.08406011059</v>
          </cell>
          <cell r="I22">
            <v>0.43266605195334057</v>
          </cell>
          <cell r="J22">
            <v>-3013.526485335191</v>
          </cell>
          <cell r="K22">
            <v>-4.0671346886772639E-2</v>
          </cell>
          <cell r="L22">
            <v>9997</v>
          </cell>
          <cell r="M22">
            <v>3218.8015735711524</v>
          </cell>
          <cell r="N22">
            <v>3.5748265915651195E-2</v>
          </cell>
          <cell r="O22">
            <v>9778391.1921549998</v>
          </cell>
          <cell r="P22">
            <v>0.13095242721218364</v>
          </cell>
          <cell r="Q22">
            <v>12784.24</v>
          </cell>
          <cell r="R22">
            <v>0.10232303505682729</v>
          </cell>
          <cell r="S22">
            <v>-32727.73</v>
          </cell>
          <cell r="T22">
            <v>-0.26194757483592124</v>
          </cell>
          <cell r="U22">
            <v>99.65</v>
          </cell>
          <cell r="V22">
            <v>373</v>
          </cell>
          <cell r="W22">
            <v>1.3365439139152995</v>
          </cell>
          <cell r="X22">
            <v>-9.1419540332742549E-2</v>
          </cell>
          <cell r="Y22">
            <v>-0.65171725139291692</v>
          </cell>
          <cell r="Z22">
            <v>0.47157276356611849</v>
          </cell>
          <cell r="AA22">
            <v>-0.95914777586350441</v>
          </cell>
          <cell r="AB22">
            <v>-0.94133673311346111</v>
          </cell>
          <cell r="AC22">
            <v>-1.1121855515632562</v>
          </cell>
          <cell r="AD22">
            <v>-5.2871208614970099E-2</v>
          </cell>
          <cell r="AE22">
            <v>-0.25007017292492917</v>
          </cell>
          <cell r="AF22">
            <v>0.34567114588435977</v>
          </cell>
          <cell r="AG22">
            <v>0.16916013121418697</v>
          </cell>
          <cell r="AH22">
            <v>0.25741563854927335</v>
          </cell>
          <cell r="AI22">
            <v>3.6727328121720915E-3</v>
          </cell>
        </row>
        <row r="23">
          <cell r="A23">
            <v>38533</v>
          </cell>
          <cell r="B23">
            <v>133.09</v>
          </cell>
          <cell r="C23">
            <v>-250.19</v>
          </cell>
          <cell r="D23">
            <v>-5.6659403411225481E-3</v>
          </cell>
          <cell r="E23">
            <v>37061</v>
          </cell>
          <cell r="F23">
            <v>0.27846569990232173</v>
          </cell>
          <cell r="G23">
            <v>2331.81</v>
          </cell>
          <cell r="H23">
            <v>127842.52696032572</v>
          </cell>
          <cell r="I23">
            <v>0.4119426523152902</v>
          </cell>
          <cell r="J23">
            <v>-1292.6286592694296</v>
          </cell>
          <cell r="K23">
            <v>-4.0244999793668211E-2</v>
          </cell>
          <cell r="L23">
            <v>10498</v>
          </cell>
          <cell r="M23">
            <v>2407.729089688562</v>
          </cell>
          <cell r="N23">
            <v>3.2043458811129126E-2</v>
          </cell>
          <cell r="O23">
            <v>12670457.533577999</v>
          </cell>
          <cell r="P23">
            <v>0.13034744395151926</v>
          </cell>
          <cell r="Q23">
            <v>13730.78</v>
          </cell>
          <cell r="R23">
            <v>0.10316913366894583</v>
          </cell>
          <cell r="S23">
            <v>-33285.08</v>
          </cell>
          <cell r="T23">
            <v>-0.25009452250356901</v>
          </cell>
          <cell r="U23">
            <v>99.43</v>
          </cell>
          <cell r="V23">
            <v>297</v>
          </cell>
          <cell r="W23">
            <v>1.3439668651913643</v>
          </cell>
          <cell r="X23">
            <v>0.32799135947849622</v>
          </cell>
          <cell r="Y23">
            <v>-0.61589054246422881</v>
          </cell>
          <cell r="Z23">
            <v>0.59627432046513773</v>
          </cell>
          <cell r="AA23">
            <v>-0.5531364026118023</v>
          </cell>
          <cell r="AB23">
            <v>-0.90056881001301448</v>
          </cell>
          <cell r="AC23">
            <v>-0.56711203407124111</v>
          </cell>
          <cell r="AD23">
            <v>-7.8831961708307544E-2</v>
          </cell>
          <cell r="AE23">
            <v>-5.5913400716699521E-2</v>
          </cell>
          <cell r="AF23">
            <v>0.60015481434505946</v>
          </cell>
          <cell r="AG23">
            <v>0.61856228481486042</v>
          </cell>
          <cell r="AH23">
            <v>0.60935854957995994</v>
          </cell>
          <cell r="AI23">
            <v>0.27672257443163023</v>
          </cell>
        </row>
        <row r="24">
          <cell r="A24">
            <v>38625</v>
          </cell>
          <cell r="B24">
            <v>139.88999999999999</v>
          </cell>
          <cell r="C24">
            <v>-842.02</v>
          </cell>
          <cell r="D24">
            <v>-1.2232754306955465E-2</v>
          </cell>
          <cell r="E24">
            <v>37440</v>
          </cell>
          <cell r="F24">
            <v>0.26763885910358137</v>
          </cell>
          <cell r="G24">
            <v>2289.61</v>
          </cell>
          <cell r="H24">
            <v>129187.81329637143</v>
          </cell>
          <cell r="I24">
            <v>0.4033419223087667</v>
          </cell>
          <cell r="J24">
            <v>-2824.00439274884</v>
          </cell>
          <cell r="K24">
            <v>-4.1364558939610288E-2</v>
          </cell>
          <cell r="L24">
            <v>10868</v>
          </cell>
          <cell r="M24">
            <v>3857.4266970246849</v>
          </cell>
          <cell r="N24">
            <v>3.4453345439518827E-2</v>
          </cell>
          <cell r="O24">
            <v>11326325.094870999</v>
          </cell>
          <cell r="P24">
            <v>0.13163584412925736</v>
          </cell>
          <cell r="Q24">
            <v>14940.79</v>
          </cell>
          <cell r="R24">
            <v>0.10680384587890487</v>
          </cell>
          <cell r="S24">
            <v>-34961.18</v>
          </cell>
          <cell r="T24">
            <v>-0.24991907927657447</v>
          </cell>
          <cell r="U24">
            <v>99.53</v>
          </cell>
          <cell r="V24">
            <v>235</v>
          </cell>
          <cell r="W24">
            <v>0.93015653845935731</v>
          </cell>
          <cell r="X24">
            <v>0.45848935135977498</v>
          </cell>
          <cell r="Y24">
            <v>-0.46198439663130403</v>
          </cell>
          <cell r="Z24">
            <v>0.59812009343062877</v>
          </cell>
          <cell r="AA24">
            <v>-0.38463151143052837</v>
          </cell>
          <cell r="AB24">
            <v>-1.0076226680229925</v>
          </cell>
          <cell r="AC24">
            <v>-0.92166905802264087</v>
          </cell>
          <cell r="AD24">
            <v>-2.3544747872111523E-2</v>
          </cell>
          <cell r="AE24">
            <v>-0.10158579984122701</v>
          </cell>
          <cell r="AF24">
            <v>0.48448041959020194</v>
          </cell>
          <cell r="AG24">
            <v>0.98517983117330454</v>
          </cell>
          <cell r="AH24">
            <v>0.7348301253817533</v>
          </cell>
          <cell r="AI24">
            <v>0.31662216277026312</v>
          </cell>
        </row>
        <row r="25">
          <cell r="A25">
            <v>38717</v>
          </cell>
          <cell r="B25">
            <v>145.65</v>
          </cell>
          <cell r="C25">
            <v>-250.97</v>
          </cell>
          <cell r="D25">
            <v>-1.2982217645039477E-2</v>
          </cell>
          <cell r="E25">
            <v>38507</v>
          </cell>
          <cell r="F25">
            <v>0.26438036388602815</v>
          </cell>
          <cell r="G25">
            <v>2284.2199999999998</v>
          </cell>
          <cell r="H25">
            <v>136081.34811929372</v>
          </cell>
          <cell r="I25">
            <v>0.40902531174410955</v>
          </cell>
          <cell r="J25">
            <v>-7127.64578436798</v>
          </cell>
          <cell r="K25">
            <v>-4.2855272578513633E-2</v>
          </cell>
          <cell r="L25">
            <v>11163</v>
          </cell>
          <cell r="M25">
            <v>871.32832342186828</v>
          </cell>
          <cell r="N25">
            <v>3.1125308600442565E-2</v>
          </cell>
          <cell r="O25">
            <v>9816425.7479080018</v>
          </cell>
          <cell r="P25">
            <v>0.13102506588415441</v>
          </cell>
          <cell r="Q25">
            <v>14956.63</v>
          </cell>
          <cell r="R25">
            <v>0.10268884311706143</v>
          </cell>
          <cell r="S25">
            <v>-35642.620000000003</v>
          </cell>
          <cell r="T25">
            <v>-0.24471417782354959</v>
          </cell>
          <cell r="U25">
            <v>99.67</v>
          </cell>
          <cell r="V25">
            <v>237</v>
          </cell>
          <cell r="W25">
            <v>0.88292881578899696</v>
          </cell>
          <cell r="X25">
            <v>0.49776462014316003</v>
          </cell>
          <cell r="Y25">
            <v>-0.63622768704419219</v>
          </cell>
          <cell r="Z25">
            <v>0.65287892655638824</v>
          </cell>
          <cell r="AA25">
            <v>-0.4959800734266458</v>
          </cell>
          <cell r="AB25">
            <v>-1.1501668532151099</v>
          </cell>
          <cell r="AC25">
            <v>-0.43202824946229329</v>
          </cell>
          <cell r="AD25">
            <v>-4.9754172573360941E-2</v>
          </cell>
          <cell r="AE25">
            <v>-9.1323084154132109E-2</v>
          </cell>
          <cell r="AF25">
            <v>0.32253626693339155</v>
          </cell>
          <cell r="AG25">
            <v>0.97335345871012902</v>
          </cell>
          <cell r="AH25">
            <v>0.64794486282176034</v>
          </cell>
          <cell r="AI25">
            <v>0.27831088933381409</v>
          </cell>
        </row>
        <row r="26">
          <cell r="A26">
            <v>38807</v>
          </cell>
          <cell r="B26">
            <v>150.91</v>
          </cell>
          <cell r="C26">
            <v>-676.34</v>
          </cell>
          <cell r="D26">
            <v>-1.3382280829633556E-2</v>
          </cell>
          <cell r="E26">
            <v>37591</v>
          </cell>
          <cell r="F26">
            <v>0.24909548737658208</v>
          </cell>
          <cell r="G26">
            <v>2289.98</v>
          </cell>
          <cell r="H26">
            <v>140798.80188166504</v>
          </cell>
          <cell r="I26">
            <v>0.40742647900050893</v>
          </cell>
          <cell r="J26">
            <v>-2314.8019897165445</v>
          </cell>
          <cell r="K26">
            <v>-3.9235621934519863E-2</v>
          </cell>
          <cell r="L26">
            <v>11488</v>
          </cell>
          <cell r="M26">
            <v>3497.743696893071</v>
          </cell>
          <cell r="N26">
            <v>3.0772037363984137E-2</v>
          </cell>
          <cell r="O26">
            <v>11758231.333361002</v>
          </cell>
          <cell r="P26">
            <v>0.13186909956463339</v>
          </cell>
          <cell r="Q26">
            <v>15156.81</v>
          </cell>
          <cell r="R26">
            <v>0.10043608773441125</v>
          </cell>
          <cell r="S26">
            <v>-36813.78</v>
          </cell>
          <cell r="T26">
            <v>-0.24394526538996755</v>
          </cell>
          <cell r="U26">
            <v>99.76</v>
          </cell>
          <cell r="V26">
            <v>191</v>
          </cell>
          <cell r="W26">
            <v>0.85771867918520706</v>
          </cell>
          <cell r="X26">
            <v>0.68199617279221236</v>
          </cell>
          <cell r="Y26">
            <v>-0.73161705446042902</v>
          </cell>
          <cell r="Z26">
            <v>0.66096836840631434</v>
          </cell>
          <cell r="AA26">
            <v>-0.46465585591567449</v>
          </cell>
          <cell r="AB26">
            <v>-0.80405064533779724</v>
          </cell>
          <cell r="AC26">
            <v>-0.38005285909713438</v>
          </cell>
          <cell r="AD26">
            <v>-1.3535401896446057E-2</v>
          </cell>
          <cell r="AE26">
            <v>-2.4153574540468428E-2</v>
          </cell>
          <cell r="AF26">
            <v>0.21842931165400989</v>
          </cell>
          <cell r="AG26">
            <v>1.2453600253631683</v>
          </cell>
          <cell r="AH26">
            <v>0.73189466850858909</v>
          </cell>
          <cell r="AI26">
            <v>0.35387054698406034</v>
          </cell>
        </row>
        <row r="27">
          <cell r="A27">
            <v>38898</v>
          </cell>
          <cell r="B27">
            <v>153.27000000000001</v>
          </cell>
          <cell r="C27">
            <v>-689</v>
          </cell>
          <cell r="D27">
            <v>-1.6039211848372155E-2</v>
          </cell>
          <cell r="E27">
            <v>36907</v>
          </cell>
          <cell r="F27">
            <v>0.24079728583545376</v>
          </cell>
          <cell r="G27">
            <v>2633.12</v>
          </cell>
          <cell r="H27">
            <v>146854.93672750465</v>
          </cell>
          <cell r="I27">
            <v>0.36388214097286081</v>
          </cell>
          <cell r="J27">
            <v>-973.08326411136841</v>
          </cell>
          <cell r="K27">
            <v>-3.2805369744140965E-2</v>
          </cell>
          <cell r="L27">
            <v>11850</v>
          </cell>
          <cell r="M27">
            <v>2974.7702191722869</v>
          </cell>
          <cell r="N27">
            <v>2.7754883921906084E-2</v>
          </cell>
          <cell r="O27">
            <v>14928220.907756999</v>
          </cell>
          <cell r="P27">
            <v>0.11851282093082367</v>
          </cell>
          <cell r="Q27">
            <v>14465.02</v>
          </cell>
          <cell r="R27">
            <v>9.4376068376068378E-2</v>
          </cell>
          <cell r="S27">
            <v>-35576.83</v>
          </cell>
          <cell r="T27">
            <v>-0.2321186794545573</v>
          </cell>
          <cell r="U27">
            <v>100.01</v>
          </cell>
          <cell r="V27">
            <v>218</v>
          </cell>
          <cell r="W27">
            <v>0.69029114146461157</v>
          </cell>
          <cell r="X27">
            <v>0.78201598997372734</v>
          </cell>
          <cell r="Y27">
            <v>-0.98821899960479398</v>
          </cell>
          <cell r="Z27">
            <v>0.78539148218269894</v>
          </cell>
          <cell r="AA27">
            <v>0.38846172077190205</v>
          </cell>
          <cell r="AB27">
            <v>-0.18918066955110679</v>
          </cell>
          <cell r="AC27">
            <v>6.3848913137989696E-2</v>
          </cell>
          <cell r="AD27">
            <v>-0.58667365943661243</v>
          </cell>
          <cell r="AE27">
            <v>0.11824198986730208</v>
          </cell>
          <cell r="AF27">
            <v>-7.0756675233150393E-2</v>
          </cell>
          <cell r="AG27">
            <v>1.0857039971102973</v>
          </cell>
          <cell r="AH27">
            <v>0.50747366093857349</v>
          </cell>
          <cell r="AI27">
            <v>0.31285782540293777</v>
          </cell>
        </row>
        <row r="28">
          <cell r="A28">
            <v>38990</v>
          </cell>
          <cell r="B28">
            <v>156.66</v>
          </cell>
          <cell r="C28">
            <v>-714.02</v>
          </cell>
          <cell r="D28">
            <v>-1.4875079790629388E-2</v>
          </cell>
          <cell r="E28">
            <v>39043</v>
          </cell>
          <cell r="F28">
            <v>0.2492212434571684</v>
          </cell>
          <cell r="G28">
            <v>2394.31</v>
          </cell>
          <cell r="H28">
            <v>145076.81595123632</v>
          </cell>
          <cell r="I28">
            <v>0.38677599657275763</v>
          </cell>
          <cell r="J28">
            <v>-1017.0500318566101</v>
          </cell>
          <cell r="K28">
            <v>-3.0479356110591004E-2</v>
          </cell>
          <cell r="L28">
            <v>11929</v>
          </cell>
          <cell r="M28">
            <v>4941.3556592268951</v>
          </cell>
          <cell r="N28">
            <v>3.275243965904126E-2</v>
          </cell>
          <cell r="O28">
            <v>13873136.562820001</v>
          </cell>
          <cell r="P28">
            <v>0.13430287330129359</v>
          </cell>
          <cell r="Q28">
            <v>15017.44</v>
          </cell>
          <cell r="R28">
            <v>9.5860079152304364E-2</v>
          </cell>
          <cell r="S28">
            <v>-37648.1</v>
          </cell>
          <cell r="T28">
            <v>-0.24031724754244863</v>
          </cell>
          <cell r="U28">
            <v>99.66</v>
          </cell>
          <cell r="V28">
            <v>207.75</v>
          </cell>
          <cell r="W28">
            <v>0.76364937419058421</v>
          </cell>
          <cell r="X28">
            <v>0.68048041059634778</v>
          </cell>
          <cell r="Y28">
            <v>-0.92538090796188477</v>
          </cell>
          <cell r="Z28">
            <v>0.69913739536725894</v>
          </cell>
          <cell r="AA28">
            <v>-6.0073071467174631E-2</v>
          </cell>
          <cell r="AB28">
            <v>3.323610419227313E-2</v>
          </cell>
          <cell r="AC28">
            <v>-0.67142156320549584</v>
          </cell>
          <cell r="AD28">
            <v>9.0901535735677538E-2</v>
          </cell>
          <cell r="AE28">
            <v>7.6316159680948292E-2</v>
          </cell>
          <cell r="AF28">
            <v>0.33410370640888387</v>
          </cell>
          <cell r="AG28">
            <v>1.1463141559840724</v>
          </cell>
          <cell r="AH28">
            <v>0.74020893119647813</v>
          </cell>
          <cell r="AI28">
            <v>0.40826254543871321</v>
          </cell>
        </row>
        <row r="29">
          <cell r="A29">
            <v>39082</v>
          </cell>
          <cell r="B29">
            <v>161.94999999999999</v>
          </cell>
          <cell r="C29">
            <v>-829.88</v>
          </cell>
          <cell r="D29">
            <v>-1.7963815992590306E-2</v>
          </cell>
          <cell r="E29">
            <v>40103</v>
          </cell>
          <cell r="F29">
            <v>0.24762581043531953</v>
          </cell>
          <cell r="G29">
            <v>2238.79</v>
          </cell>
          <cell r="H29">
            <v>147011.59665567355</v>
          </cell>
          <cell r="I29">
            <v>0.40546865238957547</v>
          </cell>
          <cell r="J29">
            <v>-7448.3041959884895</v>
          </cell>
          <cell r="K29">
            <v>-3.2416287437566534E-2</v>
          </cell>
          <cell r="L29">
            <v>12360</v>
          </cell>
          <cell r="M29">
            <v>2244.3267166981368</v>
          </cell>
          <cell r="N29">
            <v>3.7670296565491493E-2</v>
          </cell>
          <cell r="O29">
            <v>12264771.817304002</v>
          </cell>
          <cell r="P29">
            <v>0.14569342012250944</v>
          </cell>
          <cell r="Q29">
            <v>15440.43</v>
          </cell>
          <cell r="R29">
            <v>9.5340722445199144E-2</v>
          </cell>
          <cell r="S29">
            <v>-40165.81</v>
          </cell>
          <cell r="T29">
            <v>-0.24801364618709482</v>
          </cell>
          <cell r="U29">
            <v>99.42</v>
          </cell>
          <cell r="V29">
            <v>171</v>
          </cell>
          <cell r="W29">
            <v>0.56901146552244841</v>
          </cell>
          <cell r="X29">
            <v>0.69971047127633679</v>
          </cell>
          <cell r="Y29">
            <v>-0.94737224716173418</v>
          </cell>
          <cell r="Z29">
            <v>0.61816644656926112</v>
          </cell>
          <cell r="AA29">
            <v>-0.42629825606346189</v>
          </cell>
          <cell r="AB29">
            <v>-0.15197605901026365</v>
          </cell>
          <cell r="AC29">
            <v>-1.3949662679350103</v>
          </cell>
          <cell r="AD29">
            <v>0.57968724742453281</v>
          </cell>
          <cell r="AE29">
            <v>-5.6754649922236375E-2</v>
          </cell>
          <cell r="AF29">
            <v>0.61172225382055179</v>
          </cell>
          <cell r="AG29">
            <v>1.3636237499949244</v>
          </cell>
          <cell r="AH29">
            <v>0.9876730019077381</v>
          </cell>
          <cell r="AI29">
            <v>0.46545917599275088</v>
          </cell>
        </row>
        <row r="30">
          <cell r="A30">
            <v>39172</v>
          </cell>
          <cell r="B30">
            <v>168.67</v>
          </cell>
          <cell r="C30">
            <v>-2062.98</v>
          </cell>
          <cell r="D30">
            <v>-2.5469140926068657E-2</v>
          </cell>
          <cell r="E30">
            <v>42217</v>
          </cell>
          <cell r="F30">
            <v>0.25029347246101857</v>
          </cell>
          <cell r="G30">
            <v>2190.3000000000002</v>
          </cell>
          <cell r="H30">
            <v>143847.69859799696</v>
          </cell>
          <cell r="I30">
            <v>0.38936908803516873</v>
          </cell>
          <cell r="J30">
            <v>-1174.6903974204115</v>
          </cell>
          <cell r="K30">
            <v>-2.8727772274174106E-2</v>
          </cell>
          <cell r="L30">
            <v>12656</v>
          </cell>
          <cell r="M30">
            <v>4121.7928511514428</v>
          </cell>
          <cell r="N30">
            <v>3.8659394197480462E-2</v>
          </cell>
          <cell r="O30">
            <v>14632654.822602</v>
          </cell>
          <cell r="P30">
            <v>0.15076629647287598</v>
          </cell>
          <cell r="Q30">
            <v>18996.990000000002</v>
          </cell>
          <cell r="R30">
            <v>0.11262814964131145</v>
          </cell>
          <cell r="S30">
            <v>-42479.13</v>
          </cell>
          <cell r="T30">
            <v>-0.25184757218236792</v>
          </cell>
          <cell r="U30">
            <v>99.48</v>
          </cell>
          <cell r="V30">
            <v>169.87</v>
          </cell>
          <cell r="W30">
            <v>9.6060506486314576E-2</v>
          </cell>
          <cell r="X30">
            <v>0.66755662844785701</v>
          </cell>
          <cell r="Y30">
            <v>-0.21536345597578566</v>
          </cell>
          <cell r="Z30">
            <v>0.57783113653766349</v>
          </cell>
          <cell r="AA30">
            <v>-0.11087673515214733</v>
          </cell>
          <cell r="AB30">
            <v>0.20072507339591422</v>
          </cell>
          <cell r="AC30">
            <v>-1.5404882641418276</v>
          </cell>
          <cell r="AD30">
            <v>0.79737209751488192</v>
          </cell>
          <cell r="AE30">
            <v>5.9102123389108835E-2</v>
          </cell>
          <cell r="AF30">
            <v>0.5423176169676307</v>
          </cell>
          <cell r="AG30">
            <v>1.3703056504366184</v>
          </cell>
          <cell r="AH30">
            <v>0.95631163370212457</v>
          </cell>
          <cell r="AI30">
            <v>0.50770687854561669</v>
          </cell>
        </row>
        <row r="31">
          <cell r="A31">
            <v>39263</v>
          </cell>
          <cell r="B31">
            <v>182.12</v>
          </cell>
          <cell r="C31">
            <v>-1423.14</v>
          </cell>
          <cell r="D31">
            <v>-2.7619262025038439E-2</v>
          </cell>
          <cell r="E31">
            <v>43119</v>
          </cell>
          <cell r="F31">
            <v>0.23676147594992314</v>
          </cell>
          <cell r="G31">
            <v>1960.61</v>
          </cell>
          <cell r="H31">
            <v>146918.21786559315</v>
          </cell>
          <cell r="I31">
            <v>0.41145921825586962</v>
          </cell>
          <cell r="J31">
            <v>1957.0025066996732</v>
          </cell>
          <cell r="K31">
            <v>-2.1517130753818899E-2</v>
          </cell>
          <cell r="L31">
            <v>12932</v>
          </cell>
          <cell r="M31">
            <v>3405.9472303500711</v>
          </cell>
          <cell r="N31">
            <v>4.12064166728425E-2</v>
          </cell>
          <cell r="O31">
            <v>16874359.877762001</v>
          </cell>
          <cell r="P31">
            <v>0.16144039406206268</v>
          </cell>
          <cell r="Q31">
            <v>19999.349999999999</v>
          </cell>
          <cell r="R31">
            <v>0.10981413353832638</v>
          </cell>
          <cell r="S31">
            <v>-45188.76</v>
          </cell>
          <cell r="T31">
            <v>-0.24812629035800571</v>
          </cell>
          <cell r="U31">
            <v>99.31</v>
          </cell>
          <cell r="V31">
            <v>181.06</v>
          </cell>
          <cell r="W31">
            <v>-3.9430207748532016E-2</v>
          </cell>
          <cell r="X31">
            <v>0.83066038176506451</v>
          </cell>
          <cell r="Y31">
            <v>-0.33451852182544151</v>
          </cell>
          <cell r="Z31">
            <v>0.61698135912559504</v>
          </cell>
          <cell r="AA31">
            <v>-0.54366499686901071</v>
          </cell>
          <cell r="AB31">
            <v>0.89021700089153932</v>
          </cell>
          <cell r="AC31">
            <v>-1.9152215392109224</v>
          </cell>
          <cell r="AD31">
            <v>1.2554138815185407</v>
          </cell>
          <cell r="AE31">
            <v>9.5054669705854133E-2</v>
          </cell>
          <cell r="AF31">
            <v>0.73896408805090164</v>
          </cell>
          <cell r="AG31">
            <v>1.3041370965051511</v>
          </cell>
          <cell r="AH31">
            <v>1.0215505922780264</v>
          </cell>
          <cell r="AI31">
            <v>0.55830263099194022</v>
          </cell>
        </row>
        <row r="32">
          <cell r="A32">
            <v>39355</v>
          </cell>
          <cell r="B32">
            <v>195.16</v>
          </cell>
          <cell r="C32">
            <v>-1424.29</v>
          </cell>
          <cell r="D32">
            <v>-2.9413250666120105E-2</v>
          </cell>
          <cell r="E32">
            <v>43389</v>
          </cell>
          <cell r="F32">
            <v>0.22232527157204346</v>
          </cell>
          <cell r="G32">
            <v>2023.19</v>
          </cell>
          <cell r="H32">
            <v>149046.34095344151</v>
          </cell>
          <cell r="I32">
            <v>0.37747990709701318</v>
          </cell>
          <cell r="J32">
            <v>-3184.3063312342629</v>
          </cell>
          <cell r="K32">
            <v>-2.4947205734119082E-2</v>
          </cell>
          <cell r="L32">
            <v>13639</v>
          </cell>
          <cell r="M32">
            <v>5086.2754051763914</v>
          </cell>
          <cell r="N32">
            <v>3.7630750266442629E-2</v>
          </cell>
          <cell r="O32">
            <v>15540934.661560997</v>
          </cell>
          <cell r="P32">
            <v>0.15021744470332421</v>
          </cell>
          <cell r="Q32">
            <v>20553.72</v>
          </cell>
          <cell r="R32">
            <v>0.10531727813076451</v>
          </cell>
          <cell r="S32">
            <v>-46718.33</v>
          </cell>
          <cell r="T32">
            <v>-0.2393847612215618</v>
          </cell>
          <cell r="U32">
            <v>99.04</v>
          </cell>
          <cell r="V32">
            <v>213.91</v>
          </cell>
          <cell r="W32">
            <v>-0.15247909714635333</v>
          </cell>
          <cell r="X32">
            <v>1.0046627261904304</v>
          </cell>
          <cell r="Y32">
            <v>-0.5249307592095922</v>
          </cell>
          <cell r="Z32">
            <v>0.70894773727254523</v>
          </cell>
          <cell r="AA32">
            <v>0.12205525302779148</v>
          </cell>
          <cell r="AB32">
            <v>0.56222829101802618</v>
          </cell>
          <cell r="AC32">
            <v>-1.3891479784213554</v>
          </cell>
          <cell r="AD32">
            <v>0.77382003219240125</v>
          </cell>
          <cell r="AE32">
            <v>0.13814452561548668</v>
          </cell>
          <cell r="AF32">
            <v>1.0512849538890301</v>
          </cell>
          <cell r="AG32">
            <v>1.1098889287974916</v>
          </cell>
          <cell r="AH32">
            <v>1.0805869413432609</v>
          </cell>
          <cell r="AI32">
            <v>0.60936573347937384</v>
          </cell>
        </row>
        <row r="33">
          <cell r="A33">
            <v>39447</v>
          </cell>
          <cell r="B33">
            <v>207.12</v>
          </cell>
          <cell r="C33">
            <v>-1106.25</v>
          </cell>
          <cell r="D33">
            <v>-2.9049150251062184E-2</v>
          </cell>
          <cell r="E33">
            <v>44553</v>
          </cell>
          <cell r="F33">
            <v>0.21510718424101971</v>
          </cell>
          <cell r="G33">
            <v>2014.76</v>
          </cell>
          <cell r="H33">
            <v>146714.69999682839</v>
          </cell>
          <cell r="I33">
            <v>0.35158332777956447</v>
          </cell>
          <cell r="J33">
            <v>-9532.2625593054436</v>
          </cell>
          <cell r="K33">
            <v>-2.8598945530489344E-2</v>
          </cell>
          <cell r="L33">
            <v>13586</v>
          </cell>
          <cell r="M33">
            <v>2679.6745129489964</v>
          </cell>
          <cell r="N33">
            <v>3.6649404757765305E-2</v>
          </cell>
          <cell r="O33">
            <v>13193904.459988</v>
          </cell>
          <cell r="P33">
            <v>0.14436202670063805</v>
          </cell>
          <cell r="Q33">
            <v>20955.07</v>
          </cell>
          <cell r="R33">
            <v>0.1011735708767864</v>
          </cell>
          <cell r="S33">
            <v>-47891.03</v>
          </cell>
          <cell r="T33">
            <v>-0.23122359018926225</v>
          </cell>
          <cell r="U33">
            <v>99.17</v>
          </cell>
          <cell r="V33">
            <v>254.6</v>
          </cell>
          <cell r="W33">
            <v>-0.1295351684006473</v>
          </cell>
          <cell r="X33">
            <v>1.0916637193177967</v>
          </cell>
          <cell r="Y33">
            <v>-0.70038949598999034</v>
          </cell>
          <cell r="Z33">
            <v>0.79480838356946115</v>
          </cell>
          <cell r="AA33">
            <v>0.62941919498901266</v>
          </cell>
          <cell r="AB33">
            <v>0.21304367217321352</v>
          </cell>
          <cell r="AC33">
            <v>-1.2447665212499854</v>
          </cell>
          <cell r="AD33">
            <v>0.52255512800466797</v>
          </cell>
          <cell r="AE33">
            <v>0.14709986405169112</v>
          </cell>
          <cell r="AF33">
            <v>0.90090824070771214</v>
          </cell>
          <cell r="AG33">
            <v>0.86928138103418362</v>
          </cell>
          <cell r="AH33">
            <v>0.88509481087094788</v>
          </cell>
          <cell r="AI33">
            <v>0.51609733746131947</v>
          </cell>
        </row>
        <row r="34">
          <cell r="A34">
            <v>39538</v>
          </cell>
          <cell r="B34">
            <v>220.77</v>
          </cell>
          <cell r="C34">
            <v>-1330.39</v>
          </cell>
          <cell r="D34">
            <v>-2.393472845042352E-2</v>
          </cell>
          <cell r="E34">
            <v>45178</v>
          </cell>
          <cell r="F34">
            <v>0.20463831136476876</v>
          </cell>
          <cell r="G34">
            <v>1821.6</v>
          </cell>
          <cell r="H34">
            <v>149309.20227579121</v>
          </cell>
          <cell r="I34">
            <v>0.37127311336250179</v>
          </cell>
          <cell r="J34">
            <v>1117.2675964633981</v>
          </cell>
          <cell r="K34">
            <v>-2.3976595120696345E-2</v>
          </cell>
          <cell r="L34">
            <v>13765</v>
          </cell>
          <cell r="M34">
            <v>2860.2668166438671</v>
          </cell>
          <cell r="N34">
            <v>3.4892458891582094E-2</v>
          </cell>
          <cell r="O34">
            <v>16904983.992178999</v>
          </cell>
          <cell r="P34">
            <v>0.15544812372443342</v>
          </cell>
          <cell r="Q34">
            <v>22137.599999999999</v>
          </cell>
          <cell r="R34">
            <v>0.1002744938170947</v>
          </cell>
          <cell r="S34">
            <v>-49697.73</v>
          </cell>
          <cell r="T34">
            <v>-0.22511088463106399</v>
          </cell>
          <cell r="U34">
            <v>99.56</v>
          </cell>
          <cell r="V34">
            <v>324.45999999999998</v>
          </cell>
          <cell r="W34">
            <v>0.19275210323201983</v>
          </cell>
          <cell r="X34">
            <v>1.217847055067047</v>
          </cell>
          <cell r="Y34">
            <v>-0.7384594935773664</v>
          </cell>
          <cell r="Z34">
            <v>0.85911788618526042</v>
          </cell>
          <cell r="AA34">
            <v>0.2436583148638421</v>
          </cell>
          <cell r="AB34">
            <v>0.6550394758213981</v>
          </cell>
          <cell r="AC34">
            <v>-0.9862740717633125</v>
          </cell>
          <cell r="AD34">
            <v>0.99827643521484433</v>
          </cell>
          <cell r="AE34">
            <v>0.30524471313046664</v>
          </cell>
          <cell r="AF34">
            <v>0.4497781011637414</v>
          </cell>
          <cell r="AG34">
            <v>0.45618619089545931</v>
          </cell>
          <cell r="AH34">
            <v>0.45298214602960035</v>
          </cell>
          <cell r="AI34">
            <v>0.37911342958003347</v>
          </cell>
        </row>
        <row r="35">
          <cell r="A35">
            <v>39629</v>
          </cell>
          <cell r="B35">
            <v>235.37</v>
          </cell>
          <cell r="C35">
            <v>-1132.23</v>
          </cell>
          <cell r="D35">
            <v>-2.1214088456472786E-2</v>
          </cell>
          <cell r="E35">
            <v>45381</v>
          </cell>
          <cell r="F35">
            <v>0.19280706972001529</v>
          </cell>
          <cell r="G35">
            <v>1923.02</v>
          </cell>
          <cell r="H35">
            <v>150002.45469335621</v>
          </cell>
          <cell r="I35">
            <v>0.3314083585277286</v>
          </cell>
          <cell r="J35">
            <v>372.60258896293817</v>
          </cell>
          <cell r="K35">
            <v>-2.4803739359818555E-2</v>
          </cell>
          <cell r="L35">
            <v>13839</v>
          </cell>
          <cell r="M35">
            <v>3335.6829466025019</v>
          </cell>
          <cell r="N35">
            <v>3.0846763573244184E-2</v>
          </cell>
          <cell r="O35">
            <v>18494860.570166998</v>
          </cell>
          <cell r="P35">
            <v>0.14169614949185322</v>
          </cell>
          <cell r="Q35">
            <v>22854.74</v>
          </cell>
          <cell r="R35">
            <v>9.710132982113269E-2</v>
          </cell>
          <cell r="S35">
            <v>-50404.86</v>
          </cell>
          <cell r="T35">
            <v>-0.21415159111186641</v>
          </cell>
          <cell r="U35">
            <v>99.73</v>
          </cell>
          <cell r="V35">
            <v>308.42</v>
          </cell>
          <cell r="W35">
            <v>0.36419428671317194</v>
          </cell>
          <cell r="X35">
            <v>1.3604512832812565</v>
          </cell>
          <cell r="Y35">
            <v>-0.87282210951603478</v>
          </cell>
          <cell r="Z35">
            <v>0.97441653888985558</v>
          </cell>
          <cell r="AA35">
            <v>1.0246857590815523</v>
          </cell>
          <cell r="AB35">
            <v>0.57594675235992443</v>
          </cell>
          <cell r="AC35">
            <v>-0.39104702872083813</v>
          </cell>
          <cell r="AD35">
            <v>0.40815827689441508</v>
          </cell>
          <cell r="AE35">
            <v>0.43049796987291294</v>
          </cell>
          <cell r="AF35">
            <v>0.25313163008047046</v>
          </cell>
          <cell r="AG35">
            <v>0.55103369805012758</v>
          </cell>
          <cell r="AH35">
            <v>0.40208266406529902</v>
          </cell>
          <cell r="AI35">
            <v>0.41629031696910601</v>
          </cell>
        </row>
        <row r="36">
          <cell r="A36">
            <v>39721</v>
          </cell>
          <cell r="B36">
            <v>246.77</v>
          </cell>
          <cell r="C36">
            <v>-1651.89</v>
          </cell>
          <cell r="D36">
            <v>-2.1156380435223082E-2</v>
          </cell>
          <cell r="E36">
            <v>45512</v>
          </cell>
          <cell r="F36">
            <v>0.18443084653726141</v>
          </cell>
          <cell r="G36">
            <v>2174.62</v>
          </cell>
          <cell r="H36">
            <v>157761.09917573634</v>
          </cell>
          <cell r="I36">
            <v>0.29398433154212528</v>
          </cell>
          <cell r="J36">
            <v>-2549.2697720621472</v>
          </cell>
          <cell r="K36">
            <v>-1.9737328987712018E-2</v>
          </cell>
          <cell r="L36">
            <v>14084</v>
          </cell>
          <cell r="M36">
            <v>4705.3312030486049</v>
          </cell>
          <cell r="N36">
            <v>2.5307811235654488E-2</v>
          </cell>
          <cell r="O36">
            <v>17090518.359769002</v>
          </cell>
          <cell r="P36">
            <v>0.12240118470302642</v>
          </cell>
          <cell r="Q36">
            <v>24094.03</v>
          </cell>
          <cell r="R36">
            <v>9.7637597763099243E-2</v>
          </cell>
          <cell r="S36">
            <v>-51469.83</v>
          </cell>
          <cell r="T36">
            <v>-0.20857409733760182</v>
          </cell>
          <cell r="U36">
            <v>100.92</v>
          </cell>
          <cell r="V36">
            <v>442.39</v>
          </cell>
          <cell r="W36">
            <v>0.36783078003438457</v>
          </cell>
          <cell r="X36">
            <v>1.4614115102965064</v>
          </cell>
          <cell r="Y36">
            <v>-0.85011469079504698</v>
          </cell>
          <cell r="Z36">
            <v>1.0330952773062037</v>
          </cell>
          <cell r="AA36">
            <v>1.75789463669904</v>
          </cell>
          <cell r="AB36">
            <v>1.0604042091737642</v>
          </cell>
          <cell r="AC36">
            <v>0.42387697371521099</v>
          </cell>
          <cell r="AD36">
            <v>-0.41981804806584833</v>
          </cell>
          <cell r="AE36">
            <v>0.60432258104552672</v>
          </cell>
          <cell r="AF36">
            <v>-1.1233936675024099</v>
          </cell>
          <cell r="AG36">
            <v>-0.24115586139569103</v>
          </cell>
          <cell r="AH36">
            <v>-0.68227476444905044</v>
          </cell>
          <cell r="AI36">
            <v>-3.8976091701761861E-2</v>
          </cell>
        </row>
        <row r="37">
          <cell r="A37">
            <v>39813</v>
          </cell>
          <cell r="B37">
            <v>244.58</v>
          </cell>
          <cell r="C37">
            <v>-2346.14</v>
          </cell>
          <cell r="D37">
            <v>-2.6415283342873495E-2</v>
          </cell>
          <cell r="E37">
            <v>46440</v>
          </cell>
          <cell r="F37">
            <v>0.18987652301905308</v>
          </cell>
          <cell r="G37">
            <v>2243.59</v>
          </cell>
          <cell r="H37">
            <v>163306.76886113221</v>
          </cell>
          <cell r="I37">
            <v>0.2976046754297228</v>
          </cell>
          <cell r="J37">
            <v>-7248.9642887853233</v>
          </cell>
          <cell r="K37">
            <v>-1.5140878432291569E-2</v>
          </cell>
          <cell r="L37">
            <v>13813</v>
          </cell>
          <cell r="M37">
            <v>3251.8653239588616</v>
          </cell>
          <cell r="N37">
            <v>2.5792210190638733E-2</v>
          </cell>
          <cell r="O37">
            <v>14545085.099413</v>
          </cell>
          <cell r="P37">
            <v>0.12216310989348772</v>
          </cell>
          <cell r="Q37">
            <v>24041.02</v>
          </cell>
          <cell r="R37">
            <v>9.8295118161746659E-2</v>
          </cell>
          <cell r="S37">
            <v>-53872.85</v>
          </cell>
          <cell r="T37">
            <v>-0.22026678387439691</v>
          </cell>
          <cell r="U37">
            <v>102.42</v>
          </cell>
          <cell r="V37">
            <v>724.44</v>
          </cell>
          <cell r="W37">
            <v>3.6438975456181168E-2</v>
          </cell>
          <cell r="X37">
            <v>1.3957737255983513</v>
          </cell>
          <cell r="Y37">
            <v>-0.82227302836986915</v>
          </cell>
          <cell r="Z37">
            <v>0.91008086932196153</v>
          </cell>
          <cell r="AA37">
            <v>1.686965116489046</v>
          </cell>
          <cell r="AB37">
            <v>1.4999234314438881</v>
          </cell>
          <cell r="AC37">
            <v>0.35260928424753496</v>
          </cell>
          <cell r="AD37">
            <v>-0.43003420072665127</v>
          </cell>
          <cell r="AE37">
            <v>0.57868552168255538</v>
          </cell>
          <cell r="AF37">
            <v>-2.8585095888253718</v>
          </cell>
          <cell r="AG37">
            <v>-1.908970038015033</v>
          </cell>
          <cell r="AH37">
            <v>-2.3837398134202026</v>
          </cell>
          <cell r="AI37">
            <v>-0.90252714586882354</v>
          </cell>
        </row>
        <row r="38">
          <cell r="A38">
            <v>39903</v>
          </cell>
          <cell r="B38">
            <v>234.89</v>
          </cell>
          <cell r="C38">
            <v>-961.08</v>
          </cell>
          <cell r="D38">
            <v>-2.5932734471454725E-2</v>
          </cell>
          <cell r="E38">
            <v>46748</v>
          </cell>
          <cell r="F38">
            <v>0.19902081825535356</v>
          </cell>
          <cell r="G38">
            <v>2561.21</v>
          </cell>
          <cell r="H38">
            <v>180850.06645645652</v>
          </cell>
          <cell r="I38">
            <v>0.30061382942175252</v>
          </cell>
          <cell r="J38">
            <v>-3731.3359106377638</v>
          </cell>
          <cell r="K38">
            <v>-2.1869863948263513E-2</v>
          </cell>
          <cell r="L38">
            <v>13705</v>
          </cell>
          <cell r="M38">
            <v>2840.4984685128934</v>
          </cell>
          <cell r="N38">
            <v>2.3492879759983074E-2</v>
          </cell>
          <cell r="O38">
            <v>16030300.851430999</v>
          </cell>
          <cell r="P38">
            <v>0.10997419728940012</v>
          </cell>
          <cell r="Q38">
            <v>23844.51</v>
          </cell>
          <cell r="R38">
            <v>0.10151351696538806</v>
          </cell>
          <cell r="S38">
            <v>-54408.13</v>
          </cell>
          <cell r="T38">
            <v>-0.23163238111456427</v>
          </cell>
          <cell r="U38">
            <v>103.54</v>
          </cell>
          <cell r="V38">
            <v>656.62</v>
          </cell>
          <cell r="W38">
            <v>6.6846979578867635E-2</v>
          </cell>
          <cell r="X38">
            <v>1.2855557785823031</v>
          </cell>
          <cell r="Y38">
            <v>-0.68599501596917756</v>
          </cell>
          <cell r="Z38">
            <v>0.79050764622333347</v>
          </cell>
          <cell r="AA38">
            <v>1.6280099852862213</v>
          </cell>
          <cell r="AB38">
            <v>0.85648814480532998</v>
          </cell>
          <cell r="AC38">
            <v>0.69090061503885558</v>
          </cell>
          <cell r="AD38">
            <v>-0.95307900405473867</v>
          </cell>
          <cell r="AE38">
            <v>0.45990439118637438</v>
          </cell>
          <cell r="AF38">
            <v>-4.1540628100798545</v>
          </cell>
          <cell r="AG38">
            <v>-1.5079377477887475</v>
          </cell>
          <cell r="AH38">
            <v>-2.831000278934301</v>
          </cell>
          <cell r="AI38">
            <v>-1.1855479438739633</v>
          </cell>
        </row>
        <row r="39">
          <cell r="A39">
            <v>39994</v>
          </cell>
          <cell r="B39">
            <v>224.28</v>
          </cell>
          <cell r="C39">
            <v>-807.77</v>
          </cell>
          <cell r="D39">
            <v>-2.5712858926342067E-2</v>
          </cell>
          <cell r="E39">
            <v>46339</v>
          </cell>
          <cell r="F39">
            <v>0.20661227037631533</v>
          </cell>
          <cell r="G39">
            <v>2158.67</v>
          </cell>
          <cell r="H39">
            <v>174965.83184506529</v>
          </cell>
          <cell r="I39">
            <v>0.36139025914366685</v>
          </cell>
          <cell r="J39">
            <v>-1020.9220093854565</v>
          </cell>
          <cell r="K39">
            <v>-3.0053902594485413E-2</v>
          </cell>
          <cell r="L39">
            <v>13578</v>
          </cell>
          <cell r="M39">
            <v>3486.2411893078056</v>
          </cell>
          <cell r="N39">
            <v>2.9503334136677276E-2</v>
          </cell>
          <cell r="O39">
            <v>20327719.604414001</v>
          </cell>
          <cell r="P39">
            <v>0.14044018256391733</v>
          </cell>
          <cell r="Q39">
            <v>23728.98</v>
          </cell>
          <cell r="R39">
            <v>0.10580069555912253</v>
          </cell>
          <cell r="S39">
            <v>-56167.12</v>
          </cell>
          <cell r="T39">
            <v>-0.25043303014089535</v>
          </cell>
          <cell r="U39">
            <v>102.02</v>
          </cell>
          <cell r="V39">
            <v>432.98</v>
          </cell>
          <cell r="W39">
            <v>8.0702522257075138E-2</v>
          </cell>
          <cell r="X39">
            <v>1.1940545479219571</v>
          </cell>
          <cell r="Y39">
            <v>-0.50446121198569127</v>
          </cell>
          <cell r="Z39">
            <v>0.59271300746210753</v>
          </cell>
          <cell r="AA39">
            <v>0.43728249251411933</v>
          </cell>
          <cell r="AB39">
            <v>7.391858217309287E-2</v>
          </cell>
          <cell r="AC39">
            <v>-0.19339360498440719</v>
          </cell>
          <cell r="AD39">
            <v>0.35426282320246655</v>
          </cell>
          <cell r="AE39">
            <v>0.25438489482009002</v>
          </cell>
          <cell r="AF39">
            <v>-2.3958120098059084</v>
          </cell>
          <cell r="AG39">
            <v>-0.18551277895644994</v>
          </cell>
          <cell r="AH39">
            <v>-1.2906623943811792</v>
          </cell>
          <cell r="AI39">
            <v>-0.51813874978054464</v>
          </cell>
        </row>
        <row r="40">
          <cell r="A40">
            <v>40086</v>
          </cell>
          <cell r="B40">
            <v>222.71</v>
          </cell>
          <cell r="C40">
            <v>-1392.2</v>
          </cell>
          <cell r="D40">
            <v>-2.4728076871267567E-2</v>
          </cell>
          <cell r="E40">
            <v>51378</v>
          </cell>
          <cell r="F40">
            <v>0.23069462529747206</v>
          </cell>
          <cell r="G40">
            <v>1922</v>
          </cell>
          <cell r="H40">
            <v>170147.66410100737</v>
          </cell>
          <cell r="I40">
            <v>0.39749611644819077</v>
          </cell>
          <cell r="J40">
            <v>-3793.8272992524344</v>
          </cell>
          <cell r="K40">
            <v>-3.6900129494777903E-2</v>
          </cell>
          <cell r="L40">
            <v>13487</v>
          </cell>
          <cell r="M40">
            <v>5045.9683535263011</v>
          </cell>
          <cell r="N40">
            <v>3.4165682709842313E-2</v>
          </cell>
          <cell r="O40">
            <v>18386501.140691001</v>
          </cell>
          <cell r="P40">
            <v>0.16187321593502393</v>
          </cell>
          <cell r="Q40">
            <v>25129.14</v>
          </cell>
          <cell r="R40">
            <v>0.11283346055408378</v>
          </cell>
          <cell r="S40">
            <v>-57929.37</v>
          </cell>
          <cell r="T40">
            <v>-0.26011122087018995</v>
          </cell>
          <cell r="U40">
            <v>100.72</v>
          </cell>
          <cell r="V40">
            <v>337.04</v>
          </cell>
          <cell r="W40">
            <v>0.14275894506583495</v>
          </cell>
          <cell r="X40">
            <v>0.90378529806388019</v>
          </cell>
          <cell r="Y40">
            <v>-0.20666988975735176</v>
          </cell>
          <cell r="Z40">
            <v>0.49089236092580851</v>
          </cell>
          <cell r="AA40">
            <v>-0.27010089837139745</v>
          </cell>
          <cell r="AB40">
            <v>-0.58072749449423433</v>
          </cell>
          <cell r="AC40">
            <v>-0.87934638602043413</v>
          </cell>
          <cell r="AD40">
            <v>1.2739869272669528</v>
          </cell>
          <cell r="AE40">
            <v>0.10932235783488234</v>
          </cell>
          <cell r="AF40">
            <v>-0.8920448779926784</v>
          </cell>
          <cell r="AG40">
            <v>0.38179830810208443</v>
          </cell>
          <cell r="AH40">
            <v>-0.25512328494529701</v>
          </cell>
          <cell r="AI40">
            <v>-7.2900463555207337E-2</v>
          </cell>
        </row>
        <row r="41">
          <cell r="A41">
            <v>40178</v>
          </cell>
          <cell r="B41">
            <v>235.06</v>
          </cell>
          <cell r="C41">
            <v>-1488.16</v>
          </cell>
          <cell r="D41">
            <v>-1.9778822428316176E-2</v>
          </cell>
          <cell r="E41">
            <v>53779</v>
          </cell>
          <cell r="F41">
            <v>0.22878839445248023</v>
          </cell>
          <cell r="G41">
            <v>2044.23</v>
          </cell>
          <cell r="H41">
            <v>185334.1693391412</v>
          </cell>
          <cell r="I41">
            <v>0.38569766227373592</v>
          </cell>
          <cell r="J41">
            <v>-10363.567877257687</v>
          </cell>
          <cell r="K41">
            <v>-3.9352748711944649E-2</v>
          </cell>
          <cell r="L41">
            <v>13846</v>
          </cell>
          <cell r="M41">
            <v>3346.3280160841255</v>
          </cell>
          <cell r="N41">
            <v>3.0631684416027007E-2</v>
          </cell>
          <cell r="O41">
            <v>14166259.798939001</v>
          </cell>
          <cell r="P41">
            <v>0.14340975214913021</v>
          </cell>
          <cell r="Q41">
            <v>25364.95</v>
          </cell>
          <cell r="R41">
            <v>0.10790840636433251</v>
          </cell>
          <cell r="S41">
            <v>-59297.17</v>
          </cell>
          <cell r="T41">
            <v>-0.25226397515527949</v>
          </cell>
          <cell r="U41">
            <v>100.54</v>
          </cell>
          <cell r="V41">
            <v>294.43</v>
          </cell>
          <cell r="W41">
            <v>0.45463813165061634</v>
          </cell>
          <cell r="X41">
            <v>0.92676146460754361</v>
          </cell>
          <cell r="Y41">
            <v>-0.4152135280366136</v>
          </cell>
          <cell r="Z41">
            <v>0.57345031566861837</v>
          </cell>
          <cell r="AA41">
            <v>-3.8946422499485975E-2</v>
          </cell>
          <cell r="AB41">
            <v>-0.8152504764901285</v>
          </cell>
          <cell r="AC41">
            <v>-0.35940328872139538</v>
          </cell>
          <cell r="AD41">
            <v>0.48169157670307539</v>
          </cell>
          <cell r="AE41">
            <v>0.10096597161027879</v>
          </cell>
          <cell r="AF41">
            <v>-0.68383096743393146</v>
          </cell>
          <cell r="AG41">
            <v>0.63375917343004107</v>
          </cell>
          <cell r="AH41">
            <v>-2.5035897001945195E-2</v>
          </cell>
          <cell r="AI41">
            <v>3.7965037304166796E-2</v>
          </cell>
        </row>
        <row r="42">
          <cell r="A42">
            <v>40268</v>
          </cell>
          <cell r="B42">
            <v>252.21</v>
          </cell>
          <cell r="C42">
            <v>-1322.32</v>
          </cell>
          <cell r="D42">
            <v>-1.9866182942785773E-2</v>
          </cell>
          <cell r="E42">
            <v>53959</v>
          </cell>
          <cell r="F42">
            <v>0.21394472859918323</v>
          </cell>
          <cell r="G42">
            <v>1928.59</v>
          </cell>
          <cell r="H42">
            <v>184742.19885447164</v>
          </cell>
          <cell r="I42">
            <v>0.37980781421377385</v>
          </cell>
          <cell r="J42">
            <v>-2319.8150203151863</v>
          </cell>
          <cell r="K42">
            <v>-3.5974062164864658E-2</v>
          </cell>
          <cell r="L42">
            <v>14070</v>
          </cell>
          <cell r="M42">
            <v>2526.4324712019129</v>
          </cell>
          <cell r="N42">
            <v>2.9614891534687528E-2</v>
          </cell>
          <cell r="O42">
            <v>17331781.099878002</v>
          </cell>
          <cell r="P42">
            <v>0.14434799299422829</v>
          </cell>
          <cell r="Q42">
            <v>25513.18</v>
          </cell>
          <cell r="R42">
            <v>0.10115847904524009</v>
          </cell>
          <cell r="S42">
            <v>-60719.18</v>
          </cell>
          <cell r="T42">
            <v>-0.24074850323143412</v>
          </cell>
          <cell r="U42">
            <v>100.42</v>
          </cell>
          <cell r="V42">
            <v>261.33</v>
          </cell>
          <cell r="W42">
            <v>0.44913307497865457</v>
          </cell>
          <cell r="X42">
            <v>1.1056750204656229</v>
          </cell>
          <cell r="Y42">
            <v>-0.70102853575233759</v>
          </cell>
          <cell r="Z42">
            <v>0.69460031459429494</v>
          </cell>
          <cell r="AA42">
            <v>7.6447062200693611E-2</v>
          </cell>
          <cell r="AB42">
            <v>-0.49217560261469517</v>
          </cell>
          <cell r="AC42">
            <v>-0.20980660075454696</v>
          </cell>
          <cell r="AD42">
            <v>0.52195292028955187</v>
          </cell>
          <cell r="AE42">
            <v>0.1805997066759048</v>
          </cell>
          <cell r="AF42">
            <v>-0.54502169372808928</v>
          </cell>
          <cell r="AG42">
            <v>0.82948563769559769</v>
          </cell>
          <cell r="AH42">
            <v>0.1422319719837542</v>
          </cell>
          <cell r="AI42">
            <v>0.1614158393298295</v>
          </cell>
        </row>
        <row r="43">
          <cell r="A43">
            <v>40359</v>
          </cell>
          <cell r="B43">
            <v>265.44</v>
          </cell>
          <cell r="C43">
            <v>-1416</v>
          </cell>
          <cell r="D43">
            <v>-2.1167420132610006E-2</v>
          </cell>
          <cell r="E43">
            <v>55825</v>
          </cell>
          <cell r="F43">
            <v>0.21031118143459915</v>
          </cell>
          <cell r="G43">
            <v>1916.46</v>
          </cell>
          <cell r="H43">
            <v>188694.17733112408</v>
          </cell>
          <cell r="I43">
            <v>0.37093035159992921</v>
          </cell>
          <cell r="J43">
            <v>-4613.2115113631871</v>
          </cell>
          <cell r="K43">
            <v>-4.1459029898315597E-2</v>
          </cell>
          <cell r="L43">
            <v>14383</v>
          </cell>
          <cell r="M43">
            <v>4119.0340415744349</v>
          </cell>
          <cell r="N43">
            <v>2.9560862725783944E-2</v>
          </cell>
          <cell r="O43">
            <v>18195177.496668</v>
          </cell>
          <cell r="P43">
            <v>0.1338294305714807</v>
          </cell>
          <cell r="Q43">
            <v>26411.68</v>
          </cell>
          <cell r="R43">
            <v>9.9501506931886682E-2</v>
          </cell>
          <cell r="S43">
            <v>-62633.57</v>
          </cell>
          <cell r="T43">
            <v>-0.23596130952380953</v>
          </cell>
          <cell r="U43">
            <v>101.1</v>
          </cell>
          <cell r="V43">
            <v>358.23</v>
          </cell>
          <cell r="W43">
            <v>0.36713510922560666</v>
          </cell>
          <cell r="X43">
            <v>1.1494708624105145</v>
          </cell>
          <cell r="Y43">
            <v>-0.77119040194359012</v>
          </cell>
          <cell r="Z43">
            <v>0.74496459982473962</v>
          </cell>
          <cell r="AA43">
            <v>0.25037367896195789</v>
          </cell>
          <cell r="AB43">
            <v>-1.0166561171587185</v>
          </cell>
          <cell r="AC43">
            <v>-0.20185755723240667</v>
          </cell>
          <cell r="AD43">
            <v>7.058538715495391E-2</v>
          </cell>
          <cell r="AE43">
            <v>7.4103195155382148E-2</v>
          </cell>
          <cell r="AF43">
            <v>-1.3316075780611567</v>
          </cell>
          <cell r="AG43">
            <v>0.25649789185473876</v>
          </cell>
          <cell r="AH43">
            <v>-0.537554843103209</v>
          </cell>
          <cell r="AI43">
            <v>-0.23172582397391342</v>
          </cell>
        </row>
        <row r="44">
          <cell r="A44">
            <v>40451</v>
          </cell>
          <cell r="B44">
            <v>277.02999999999997</v>
          </cell>
          <cell r="C44">
            <v>-3299.02</v>
          </cell>
          <cell r="D44">
            <v>-2.7164927986138687E-2</v>
          </cell>
          <cell r="E44">
            <v>61946</v>
          </cell>
          <cell r="F44">
            <v>0.22360755152871531</v>
          </cell>
          <cell r="G44">
            <v>1799.89</v>
          </cell>
          <cell r="H44">
            <v>189520.81901062076</v>
          </cell>
          <cell r="I44">
            <v>0.38008799998851073</v>
          </cell>
          <cell r="J44">
            <v>-1902.3131288397835</v>
          </cell>
          <cell r="K44">
            <v>-3.8503814019443541E-2</v>
          </cell>
          <cell r="L44">
            <v>14603</v>
          </cell>
          <cell r="M44">
            <v>4790.778762949014</v>
          </cell>
          <cell r="N44">
            <v>2.9646762537748277E-2</v>
          </cell>
          <cell r="O44">
            <v>19090442.445038002</v>
          </cell>
          <cell r="P44">
            <v>0.13794708263316088</v>
          </cell>
          <cell r="Q44">
            <v>27296.44</v>
          </cell>
          <cell r="R44">
            <v>9.853243331047179E-2</v>
          </cell>
          <cell r="S44">
            <v>-66830.460000000006</v>
          </cell>
          <cell r="T44">
            <v>-0.24123907158069527</v>
          </cell>
          <cell r="U44">
            <v>100.14</v>
          </cell>
          <cell r="V44">
            <v>304.52</v>
          </cell>
          <cell r="W44">
            <v>-1.0800172230427856E-2</v>
          </cell>
          <cell r="X44">
            <v>0.98920715955877203</v>
          </cell>
          <cell r="Y44">
            <v>-0.81222429334540791</v>
          </cell>
          <cell r="Z44">
            <v>0.68943922737364094</v>
          </cell>
          <cell r="AA44">
            <v>7.0957682410051653E-2</v>
          </cell>
          <cell r="AB44">
            <v>-0.73407411849228144</v>
          </cell>
          <cell r="AC44">
            <v>-0.21449565453095462</v>
          </cell>
          <cell r="AD44">
            <v>0.24728010822898566</v>
          </cell>
          <cell r="AE44">
            <v>2.8161242371547306E-2</v>
          </cell>
          <cell r="AF44">
            <v>-0.22113338841446847</v>
          </cell>
          <cell r="AG44">
            <v>0.57409512435332022</v>
          </cell>
          <cell r="AH44">
            <v>0.17648086796942586</v>
          </cell>
          <cell r="AI44">
            <v>0.10232105517048658</v>
          </cell>
        </row>
        <row r="45">
          <cell r="A45">
            <v>40543</v>
          </cell>
          <cell r="B45">
            <v>287</v>
          </cell>
          <cell r="C45">
            <v>-2695.05</v>
          </cell>
          <cell r="D45">
            <v>-3.0426445993031358E-2</v>
          </cell>
          <cell r="E45">
            <v>64792</v>
          </cell>
          <cell r="F45">
            <v>0.22575609756097562</v>
          </cell>
          <cell r="G45">
            <v>1913.98</v>
          </cell>
          <cell r="H45">
            <v>202840.28600253855</v>
          </cell>
          <cell r="I45">
            <v>0.36926225896093878</v>
          </cell>
          <cell r="J45">
            <v>-10432.927300005667</v>
          </cell>
          <cell r="K45">
            <v>-3.5077074304738484E-2</v>
          </cell>
          <cell r="L45">
            <v>14950</v>
          </cell>
          <cell r="M45">
            <v>2806.8630857073522</v>
          </cell>
          <cell r="N45">
            <v>2.5928983200616557E-2</v>
          </cell>
          <cell r="O45">
            <v>15572791.733992999</v>
          </cell>
          <cell r="P45">
            <v>0.12777831096574649</v>
          </cell>
          <cell r="Q45">
            <v>28463.55</v>
          </cell>
          <cell r="R45">
            <v>9.9176132404181175E-2</v>
          </cell>
          <cell r="S45">
            <v>-69477.11</v>
          </cell>
          <cell r="T45">
            <v>-0.24208052264808361</v>
          </cell>
          <cell r="U45">
            <v>99.85</v>
          </cell>
          <cell r="V45">
            <v>288.52</v>
          </cell>
          <cell r="W45">
            <v>-0.2163259932901988</v>
          </cell>
          <cell r="X45">
            <v>0.96331032151649842</v>
          </cell>
          <cell r="Y45">
            <v>-0.78496787224073006</v>
          </cell>
          <cell r="Z45">
            <v>0.68058663352561866</v>
          </cell>
          <cell r="AA45">
            <v>0.2830548314222921</v>
          </cell>
          <cell r="AB45">
            <v>-0.40640433151867972</v>
          </cell>
          <cell r="AC45">
            <v>0.33248641589209865</v>
          </cell>
          <cell r="AD45">
            <v>-0.18907737086946455</v>
          </cell>
          <cell r="AE45">
            <v>8.2832829304679348E-2</v>
          </cell>
          <cell r="AF45">
            <v>0.11432235637464468</v>
          </cell>
          <cell r="AG45">
            <v>0.66870610405872521</v>
          </cell>
          <cell r="AH45">
            <v>0.39151423021668497</v>
          </cell>
          <cell r="AI45">
            <v>0.23717352976068215</v>
          </cell>
        </row>
        <row r="46">
          <cell r="A46">
            <v>40633</v>
          </cell>
          <cell r="B46">
            <v>298.27</v>
          </cell>
          <cell r="C46">
            <v>-2000.03</v>
          </cell>
          <cell r="D46">
            <v>-3.1548932175545649E-2</v>
          </cell>
          <cell r="E46">
            <v>67886</v>
          </cell>
          <cell r="F46">
            <v>0.22759915512790424</v>
          </cell>
          <cell r="G46">
            <v>1879.47</v>
          </cell>
          <cell r="H46">
            <v>200291.03177011901</v>
          </cell>
          <cell r="I46">
            <v>0.35728643817263472</v>
          </cell>
          <cell r="J46">
            <v>863.81258638680174</v>
          </cell>
          <cell r="K46">
            <v>-2.8692365570387703E-2</v>
          </cell>
          <cell r="L46">
            <v>15425</v>
          </cell>
          <cell r="M46">
            <v>2262.5947506166985</v>
          </cell>
          <cell r="N46">
            <v>2.4936732171074779E-2</v>
          </cell>
          <cell r="O46">
            <v>19327584.642101001</v>
          </cell>
          <cell r="P46">
            <v>0.12876800964274329</v>
          </cell>
          <cell r="Q46">
            <v>29858.61</v>
          </cell>
          <cell r="R46">
            <v>0.10010597780534417</v>
          </cell>
          <cell r="S46">
            <v>-71577.509999999995</v>
          </cell>
          <cell r="T46">
            <v>-0.23997555905723</v>
          </cell>
          <cell r="U46">
            <v>99.54</v>
          </cell>
          <cell r="V46">
            <v>298.81</v>
          </cell>
          <cell r="W46">
            <v>-0.28705989505065266</v>
          </cell>
          <cell r="X46">
            <v>0.94109559462832215</v>
          </cell>
          <cell r="Y46">
            <v>-0.74559503784648296</v>
          </cell>
          <cell r="Z46">
            <v>0.7027321728883984</v>
          </cell>
          <cell r="AA46">
            <v>0.51768426139033064</v>
          </cell>
          <cell r="AB46">
            <v>0.2041107134074219</v>
          </cell>
          <cell r="AC46">
            <v>0.47847235892466622</v>
          </cell>
          <cell r="AD46">
            <v>-0.14660789334689514</v>
          </cell>
          <cell r="AE46">
            <v>0.20810403437438857</v>
          </cell>
          <cell r="AF46">
            <v>0.47291298011470961</v>
          </cell>
          <cell r="AG46">
            <v>0.60785941773568652</v>
          </cell>
          <cell r="AH46">
            <v>0.54038619892519812</v>
          </cell>
          <cell r="AI46">
            <v>0.37424511664979332</v>
          </cell>
        </row>
        <row r="47">
          <cell r="A47">
            <v>40724</v>
          </cell>
          <cell r="B47">
            <v>314.14</v>
          </cell>
          <cell r="C47">
            <v>-1808.32</v>
          </cell>
          <cell r="D47">
            <v>-3.120398548417903E-2</v>
          </cell>
          <cell r="E47">
            <v>68930</v>
          </cell>
          <cell r="F47">
            <v>0.21942446043165467</v>
          </cell>
          <cell r="G47">
            <v>1780.16</v>
          </cell>
          <cell r="H47">
            <v>195493.82305754552</v>
          </cell>
          <cell r="I47">
            <v>0.34958336789378797</v>
          </cell>
          <cell r="J47">
            <v>3122.5946805870071</v>
          </cell>
          <cell r="K47">
            <v>-1.4929439554984346E-2</v>
          </cell>
          <cell r="L47">
            <v>15883</v>
          </cell>
          <cell r="M47">
            <v>4873.902540071781</v>
          </cell>
          <cell r="N47">
            <v>2.6347686606096286E-2</v>
          </cell>
          <cell r="O47">
            <v>27858608.750202999</v>
          </cell>
          <cell r="P47">
            <v>0.14636369632069338</v>
          </cell>
          <cell r="Q47">
            <v>31204</v>
          </cell>
          <cell r="R47">
            <v>9.9331508244731651E-2</v>
          </cell>
          <cell r="S47">
            <v>-73824.91</v>
          </cell>
          <cell r="T47">
            <v>-0.23500639842108617</v>
          </cell>
          <cell r="U47">
            <v>99.49</v>
          </cell>
          <cell r="V47">
            <v>288.45</v>
          </cell>
          <cell r="W47">
            <v>-0.265322945625523</v>
          </cell>
          <cell r="X47">
            <v>1.0396267600840128</v>
          </cell>
          <cell r="Y47">
            <v>-0.7783887277601429</v>
          </cell>
          <cell r="Z47">
            <v>0.75501086452271482</v>
          </cell>
          <cell r="AA47">
            <v>0.66860226696825997</v>
          </cell>
          <cell r="AB47">
            <v>1.5201415214225014</v>
          </cell>
          <cell r="AC47">
            <v>0.27088425103656483</v>
          </cell>
          <cell r="AD47">
            <v>0.60844981990676117</v>
          </cell>
          <cell r="AE47">
            <v>0.47737547631939359</v>
          </cell>
          <cell r="AF47">
            <v>0.53075017749215481</v>
          </cell>
          <cell r="AG47">
            <v>0.66912002709493623</v>
          </cell>
          <cell r="AH47">
            <v>0.59993510229354552</v>
          </cell>
          <cell r="AI47">
            <v>0.53865528930646955</v>
          </cell>
        </row>
        <row r="48">
          <cell r="A48">
            <v>40816</v>
          </cell>
          <cell r="B48">
            <v>326.70999999999998</v>
          </cell>
          <cell r="C48">
            <v>-3022.22</v>
          </cell>
          <cell r="D48">
            <v>-2.9156193566159588E-2</v>
          </cell>
          <cell r="E48">
            <v>72034</v>
          </cell>
          <cell r="F48">
            <v>0.22048299715343883</v>
          </cell>
          <cell r="G48">
            <v>1915.1</v>
          </cell>
          <cell r="H48">
            <v>208377.73911068623</v>
          </cell>
          <cell r="I48">
            <v>0.3330407974092115</v>
          </cell>
          <cell r="J48">
            <v>-2150.1001069165741</v>
          </cell>
          <cell r="K48">
            <v>-1.3739592523900696E-2</v>
          </cell>
          <cell r="L48">
            <v>16295</v>
          </cell>
          <cell r="M48">
            <v>4911.4398602750171</v>
          </cell>
          <cell r="N48">
            <v>2.3741761175110541E-2</v>
          </cell>
          <cell r="O48">
            <v>21702455.535464998</v>
          </cell>
          <cell r="P48">
            <v>0.1349909336207088</v>
          </cell>
          <cell r="Q48">
            <v>32439.45</v>
          </cell>
          <cell r="R48">
            <v>9.9291267484925477E-2</v>
          </cell>
          <cell r="S48">
            <v>-75454.19</v>
          </cell>
          <cell r="T48">
            <v>-0.23095157785191761</v>
          </cell>
          <cell r="U48">
            <v>100.47</v>
          </cell>
          <cell r="V48">
            <v>464.96</v>
          </cell>
          <cell r="W48">
            <v>-0.13628054438135936</v>
          </cell>
          <cell r="X48">
            <v>1.0268680136414221</v>
          </cell>
          <cell r="Y48">
            <v>-0.78009265915536785</v>
          </cell>
          <cell r="Z48">
            <v>0.79767012424279249</v>
          </cell>
          <cell r="AA48">
            <v>0.99270313250500375</v>
          </cell>
          <cell r="AB48">
            <v>1.6339164082437228</v>
          </cell>
          <cell r="AC48">
            <v>0.65428368342686039</v>
          </cell>
          <cell r="AD48">
            <v>0.12042725194482475</v>
          </cell>
          <cell r="AE48">
            <v>0.53868692630848736</v>
          </cell>
          <cell r="AF48">
            <v>-0.60285889110551805</v>
          </cell>
          <cell r="AG48">
            <v>-0.37461647464262782</v>
          </cell>
          <cell r="AH48">
            <v>-0.48873768287407293</v>
          </cell>
          <cell r="AI48">
            <v>2.4974621717207213E-2</v>
          </cell>
        </row>
        <row r="49">
          <cell r="A49">
            <v>40908</v>
          </cell>
          <cell r="B49">
            <v>335.18</v>
          </cell>
          <cell r="C49">
            <v>-2972.36</v>
          </cell>
          <cell r="D49">
            <v>-2.9246762933349248E-2</v>
          </cell>
          <cell r="E49">
            <v>75622</v>
          </cell>
          <cell r="F49">
            <v>0.22561608687869206</v>
          </cell>
          <cell r="G49">
            <v>1942.7</v>
          </cell>
          <cell r="H49">
            <v>214693.58805741474</v>
          </cell>
          <cell r="I49">
            <v>0.32971236716800395</v>
          </cell>
          <cell r="J49">
            <v>-14483.295545185185</v>
          </cell>
          <cell r="K49">
            <v>-1.9422417389063591E-2</v>
          </cell>
          <cell r="L49">
            <v>16398</v>
          </cell>
          <cell r="M49">
            <v>3589.0378892097719</v>
          </cell>
          <cell r="N49">
            <v>2.4014243287339119E-2</v>
          </cell>
          <cell r="O49">
            <v>17679991.313794002</v>
          </cell>
          <cell r="P49">
            <v>0.13294645431575711</v>
          </cell>
          <cell r="Q49">
            <v>32302.92</v>
          </cell>
          <cell r="R49">
            <v>9.6374843367742699E-2</v>
          </cell>
          <cell r="S49">
            <v>-78621.77</v>
          </cell>
          <cell r="T49">
            <v>-0.2345658153827794</v>
          </cell>
          <cell r="U49">
            <v>100</v>
          </cell>
          <cell r="V49">
            <v>426.34</v>
          </cell>
          <cell r="W49">
            <v>-0.14198780815092321</v>
          </cell>
          <cell r="X49">
            <v>0.96499789716479445</v>
          </cell>
          <cell r="Y49">
            <v>-0.90358403056571923</v>
          </cell>
          <cell r="Z49">
            <v>0.75964607487019598</v>
          </cell>
          <cell r="AA49">
            <v>1.0579135012962273</v>
          </cell>
          <cell r="AB49">
            <v>1.0905165097963774</v>
          </cell>
          <cell r="AC49">
            <v>0.61419447522360493</v>
          </cell>
          <cell r="AD49">
            <v>3.2695531265476363E-2</v>
          </cell>
          <cell r="AE49">
            <v>0.43429901886250422</v>
          </cell>
          <cell r="AF49">
            <v>-5.9189235757658061E-2</v>
          </cell>
          <cell r="AG49">
            <v>-0.14624922237870663</v>
          </cell>
          <cell r="AH49">
            <v>-0.10271922906818234</v>
          </cell>
          <cell r="AI49">
            <v>0.16578989489716095</v>
          </cell>
        </row>
        <row r="50">
          <cell r="A50">
            <v>40999</v>
          </cell>
          <cell r="B50">
            <v>347.4</v>
          </cell>
          <cell r="C50">
            <v>-1719.09</v>
          </cell>
          <cell r="D50">
            <v>-2.7409297639608522E-2</v>
          </cell>
          <cell r="E50">
            <v>76770</v>
          </cell>
          <cell r="F50">
            <v>0.22098445595854924</v>
          </cell>
          <cell r="G50">
            <v>1792.07</v>
          </cell>
          <cell r="H50">
            <v>211673.56259248452</v>
          </cell>
          <cell r="I50">
            <v>0.34000228485734812</v>
          </cell>
          <cell r="J50">
            <v>-2211.5054076773513</v>
          </cell>
          <cell r="K50">
            <v>-2.5254075316169751E-2</v>
          </cell>
          <cell r="L50">
            <v>16589</v>
          </cell>
          <cell r="M50">
            <v>2656.1511945609764</v>
          </cell>
          <cell r="N50">
            <v>2.5749164257091495E-2</v>
          </cell>
          <cell r="O50">
            <v>21840441.994194999</v>
          </cell>
          <cell r="P50">
            <v>0.14308783935700203</v>
          </cell>
          <cell r="Q50">
            <v>33129.589999999997</v>
          </cell>
          <cell r="R50">
            <v>9.5364392630972933E-2</v>
          </cell>
          <cell r="S50">
            <v>-80868.94</v>
          </cell>
          <cell r="T50">
            <v>-0.23278336211859532</v>
          </cell>
          <cell r="U50">
            <v>99.49</v>
          </cell>
          <cell r="V50">
            <v>341.58</v>
          </cell>
          <cell r="W50">
            <v>-2.6199220638359059E-2</v>
          </cell>
          <cell r="X50">
            <v>1.0208238343379168</v>
          </cell>
          <cell r="Y50">
            <v>-0.94636997054307603</v>
          </cell>
          <cell r="Z50">
            <v>0.77839860298793717</v>
          </cell>
          <cell r="AA50">
            <v>0.85631416505476021</v>
          </cell>
          <cell r="AB50">
            <v>0.53288497960522008</v>
          </cell>
          <cell r="AC50">
            <v>0.35894246105009547</v>
          </cell>
          <cell r="AD50">
            <v>0.46787780852567357</v>
          </cell>
          <cell r="AE50">
            <v>0.38033408254752099</v>
          </cell>
          <cell r="AF50">
            <v>0.53075017749215481</v>
          </cell>
          <cell r="AG50">
            <v>0.35495244261067599</v>
          </cell>
          <cell r="AH50">
            <v>0.44285131005141543</v>
          </cell>
          <cell r="AI50">
            <v>0.41159269629946821</v>
          </cell>
        </row>
        <row r="51">
          <cell r="A51">
            <v>41090</v>
          </cell>
          <cell r="B51">
            <v>355.46</v>
          </cell>
          <cell r="C51">
            <v>-3183.2</v>
          </cell>
          <cell r="D51">
            <v>-3.0655685590502444E-2</v>
          </cell>
          <cell r="E51">
            <v>76168</v>
          </cell>
          <cell r="F51">
            <v>0.21428008777358915</v>
          </cell>
          <cell r="G51">
            <v>1784.6</v>
          </cell>
          <cell r="H51">
            <v>211796.34326900149</v>
          </cell>
          <cell r="I51">
            <v>0.33387725357559156</v>
          </cell>
          <cell r="J51">
            <v>12672.494777003643</v>
          </cell>
          <cell r="K51">
            <v>-9.7302249219116833E-3</v>
          </cell>
          <cell r="L51">
            <v>16628</v>
          </cell>
          <cell r="M51">
            <v>4117.9132252327654</v>
          </cell>
          <cell r="N51">
            <v>2.4078896313266443E-2</v>
          </cell>
          <cell r="O51">
            <v>37048637.271870002</v>
          </cell>
          <cell r="P51">
            <v>0.15491592884771288</v>
          </cell>
          <cell r="Q51">
            <v>34271.949999999997</v>
          </cell>
          <cell r="R51">
            <v>9.6415771113486745E-2</v>
          </cell>
          <cell r="S51">
            <v>-84186.41</v>
          </cell>
          <cell r="T51">
            <v>-0.23683792831823555</v>
          </cell>
          <cell r="U51">
            <v>99.81</v>
          </cell>
          <cell r="V51">
            <v>374.17</v>
          </cell>
          <cell r="W51">
            <v>-0.23077161535639232</v>
          </cell>
          <cell r="X51">
            <v>1.1016328719171722</v>
          </cell>
          <cell r="Y51">
            <v>-0.9018510098363649</v>
          </cell>
          <cell r="Z51">
            <v>0.73574201939509831</v>
          </cell>
          <cell r="AA51">
            <v>0.97631534272589526</v>
          </cell>
          <cell r="AB51">
            <v>2.0172979129448101</v>
          </cell>
          <cell r="AC51">
            <v>0.60468233295425589</v>
          </cell>
          <cell r="AD51">
            <v>0.9754391425318889</v>
          </cell>
          <cell r="AE51">
            <v>0.65981087465954547</v>
          </cell>
          <cell r="AF51">
            <v>0.16059211427658113</v>
          </cell>
          <cell r="AG51">
            <v>0.16224170332322913</v>
          </cell>
          <cell r="AH51">
            <v>0.16141690879990511</v>
          </cell>
          <cell r="AI51">
            <v>0.41061389172972529</v>
          </cell>
        </row>
        <row r="52">
          <cell r="A52">
            <v>41182</v>
          </cell>
          <cell r="B52">
            <v>360.69</v>
          </cell>
          <cell r="C52">
            <v>-3539.48</v>
          </cell>
          <cell r="D52">
            <v>-3.1645263245446226E-2</v>
          </cell>
          <cell r="E52">
            <v>79800</v>
          </cell>
          <cell r="F52">
            <v>0.22124261831489644</v>
          </cell>
          <cell r="G52">
            <v>1800.52</v>
          </cell>
          <cell r="H52">
            <v>212702.41310430723</v>
          </cell>
          <cell r="I52">
            <v>0.32752191553666499</v>
          </cell>
          <cell r="J52">
            <v>-3551.3216975788055</v>
          </cell>
          <cell r="K52">
            <v>-1.1661969756091888E-2</v>
          </cell>
          <cell r="L52">
            <v>16748</v>
          </cell>
          <cell r="M52">
            <v>5314.2978780482918</v>
          </cell>
          <cell r="N52">
            <v>2.4140262750004977E-2</v>
          </cell>
          <cell r="O52">
            <v>22314873.336658001</v>
          </cell>
          <cell r="P52">
            <v>0.1522627705755068</v>
          </cell>
          <cell r="Q52">
            <v>35835.410000000003</v>
          </cell>
          <cell r="R52">
            <v>9.9352380160248416E-2</v>
          </cell>
          <cell r="S52">
            <v>-87681.26</v>
          </cell>
          <cell r="T52">
            <v>-0.24309312706201999</v>
          </cell>
          <cell r="U52">
            <v>99.39</v>
          </cell>
          <cell r="V52">
            <v>307.67</v>
          </cell>
          <cell r="W52">
            <v>-0.29313023474923516</v>
          </cell>
          <cell r="X52">
            <v>1.0177121538663088</v>
          </cell>
          <cell r="Y52">
            <v>-0.77750493947436505</v>
          </cell>
          <cell r="Z52">
            <v>0.66993339894940485</v>
          </cell>
          <cell r="AA52">
            <v>1.1008286740195494</v>
          </cell>
          <cell r="AB52">
            <v>1.8325816896533471</v>
          </cell>
          <cell r="AC52">
            <v>0.59565373346571682</v>
          </cell>
          <cell r="AD52">
            <v>0.86158808036093359</v>
          </cell>
          <cell r="AE52">
            <v>0.62595781951145746</v>
          </cell>
          <cell r="AF52">
            <v>0.64642457224701233</v>
          </cell>
          <cell r="AG52">
            <v>0.55546858772381846</v>
          </cell>
          <cell r="AH52">
            <v>0.60094657998541545</v>
          </cell>
          <cell r="AI52">
            <v>0.61345219974843646</v>
          </cell>
        </row>
        <row r="53">
          <cell r="A53">
            <v>41274</v>
          </cell>
          <cell r="B53">
            <v>370.91</v>
          </cell>
          <cell r="C53">
            <v>-2920.63</v>
          </cell>
          <cell r="D53">
            <v>-3.0633846485670382E-2</v>
          </cell>
          <cell r="E53">
            <v>78784</v>
          </cell>
          <cell r="F53">
            <v>0.21240732253107222</v>
          </cell>
          <cell r="G53">
            <v>1768.23</v>
          </cell>
          <cell r="H53">
            <v>216289.41149323119</v>
          </cell>
          <cell r="I53">
            <v>0.32978277035034131</v>
          </cell>
          <cell r="J53">
            <v>-19264.132802593544</v>
          </cell>
          <cell r="K53">
            <v>-1.8837213106821966E-2</v>
          </cell>
          <cell r="L53">
            <v>16908</v>
          </cell>
          <cell r="M53">
            <v>3987.831923713607</v>
          </cell>
          <cell r="N53">
            <v>2.4511841936565089E-2</v>
          </cell>
          <cell r="O53">
            <v>18022505.793870002</v>
          </cell>
          <cell r="P53">
            <v>0.15129347348150421</v>
          </cell>
          <cell r="Q53">
            <v>37474.089999999997</v>
          </cell>
          <cell r="R53">
            <v>0.10103283815480843</v>
          </cell>
          <cell r="S53">
            <v>-91617.43</v>
          </cell>
          <cell r="T53">
            <v>-0.24700717155105009</v>
          </cell>
          <cell r="U53">
            <v>99.55</v>
          </cell>
          <cell r="V53">
            <v>265.77999999999997</v>
          </cell>
          <cell r="W53">
            <v>-0.22939541570263161</v>
          </cell>
          <cell r="X53">
            <v>1.1242056711257786</v>
          </cell>
          <cell r="Y53">
            <v>-0.70634860075015782</v>
          </cell>
          <cell r="Z53">
            <v>0.62875519203118579</v>
          </cell>
          <cell r="AA53">
            <v>1.0565341671502215</v>
          </cell>
          <cell r="AB53">
            <v>1.1464745861204373</v>
          </cell>
          <cell r="AC53">
            <v>0.54098476730067002</v>
          </cell>
          <cell r="AD53">
            <v>0.81999406583587642</v>
          </cell>
          <cell r="AE53">
            <v>0.5476505541389225</v>
          </cell>
          <cell r="AF53">
            <v>0.46134554063923372</v>
          </cell>
          <cell r="AG53">
            <v>0.80317195896503202</v>
          </cell>
          <cell r="AH53">
            <v>0.63225874980213281</v>
          </cell>
          <cell r="AI53">
            <v>0.58995465197052765</v>
          </cell>
        </row>
        <row r="54">
          <cell r="A54">
            <v>41364</v>
          </cell>
          <cell r="B54">
            <v>375.39</v>
          </cell>
          <cell r="C54">
            <v>-3454.19</v>
          </cell>
          <cell r="D54">
            <v>-3.4890380670769071E-2</v>
          </cell>
          <cell r="E54">
            <v>81688</v>
          </cell>
          <cell r="F54">
            <v>0.21760835397852898</v>
          </cell>
          <cell r="G54">
            <v>1832.2</v>
          </cell>
          <cell r="H54">
            <v>224509.31699896685</v>
          </cell>
          <cell r="I54">
            <v>0.32642152586876994</v>
          </cell>
          <cell r="J54">
            <v>916.55153792186502</v>
          </cell>
          <cell r="K54">
            <v>-1.3414580198158287E-2</v>
          </cell>
          <cell r="L54">
            <v>16928</v>
          </cell>
          <cell r="M54">
            <v>2521.7684455996796</v>
          </cell>
          <cell r="N54">
            <v>2.3178327276370699E-2</v>
          </cell>
          <cell r="O54">
            <v>24197312.509668</v>
          </cell>
          <cell r="P54">
            <v>0.14769536369155814</v>
          </cell>
          <cell r="Q54">
            <v>39339.43</v>
          </cell>
          <cell r="R54">
            <v>0.10479615866165855</v>
          </cell>
          <cell r="S54">
            <v>-94141.78</v>
          </cell>
          <cell r="T54">
            <v>-0.25078393137803351</v>
          </cell>
          <cell r="U54">
            <v>99.41</v>
          </cell>
          <cell r="V54">
            <v>307.35000000000002</v>
          </cell>
          <cell r="W54">
            <v>-0.49762256680607159</v>
          </cell>
          <cell r="X54">
            <v>1.0615166400204674</v>
          </cell>
          <cell r="Y54">
            <v>-0.54699673978127061</v>
          </cell>
          <cell r="Z54">
            <v>0.58902130600310987</v>
          </cell>
          <cell r="AA54">
            <v>1.1223874302071073</v>
          </cell>
          <cell r="AB54">
            <v>1.6649945549389047</v>
          </cell>
          <cell r="AC54">
            <v>0.73717946946805668</v>
          </cell>
          <cell r="AD54">
            <v>0.66559369489515108</v>
          </cell>
          <cell r="AE54">
            <v>0.59950922361818182</v>
          </cell>
          <cell r="AF54">
            <v>0.62328969329604411</v>
          </cell>
          <cell r="AG54">
            <v>0.55736080731792648</v>
          </cell>
          <cell r="AH54">
            <v>0.59032525030698535</v>
          </cell>
          <cell r="AI54">
            <v>0.59491723696258358</v>
          </cell>
        </row>
        <row r="55">
          <cell r="A55">
            <v>41455</v>
          </cell>
          <cell r="B55">
            <v>378.14</v>
          </cell>
          <cell r="C55">
            <v>-2223.9299999999998</v>
          </cell>
          <cell r="D55">
            <v>-3.2099830750515687E-2</v>
          </cell>
          <cell r="E55">
            <v>83736</v>
          </cell>
          <cell r="F55">
            <v>0.22144179404453376</v>
          </cell>
          <cell r="G55">
            <v>1929</v>
          </cell>
          <cell r="H55">
            <v>225282.1625979325</v>
          </cell>
          <cell r="I55">
            <v>0.30884598436478444</v>
          </cell>
          <cell r="J55">
            <v>5134.5704102509335</v>
          </cell>
          <cell r="K55">
            <v>-2.2982719668230032E-2</v>
          </cell>
          <cell r="L55">
            <v>17260</v>
          </cell>
          <cell r="M55">
            <v>4436.6112435415016</v>
          </cell>
          <cell r="N55">
            <v>2.2292013722159516E-2</v>
          </cell>
          <cell r="O55">
            <v>34811240.808631003</v>
          </cell>
          <cell r="P55">
            <v>0.13619627912821244</v>
          </cell>
          <cell r="Q55">
            <v>40820.99</v>
          </cell>
          <cell r="R55">
            <v>0.10795205479452054</v>
          </cell>
          <cell r="S55">
            <v>-95343.21</v>
          </cell>
          <cell r="T55">
            <v>-0.25213733008938494</v>
          </cell>
          <cell r="U55">
            <v>99.84</v>
          </cell>
          <cell r="V55">
            <v>353.42</v>
          </cell>
          <cell r="W55">
            <v>-0.32177498222849288</v>
          </cell>
          <cell r="X55">
            <v>1.0153114505372101</v>
          </cell>
          <cell r="Y55">
            <v>-0.41336530422304979</v>
          </cell>
          <cell r="Z55">
            <v>0.57478270132319986</v>
          </cell>
          <cell r="AA55">
            <v>1.4667261905605591</v>
          </cell>
          <cell r="AB55">
            <v>0.75007527804192331</v>
          </cell>
          <cell r="AC55">
            <v>0.86757925357694121</v>
          </cell>
          <cell r="AD55">
            <v>0.17215046339054593</v>
          </cell>
          <cell r="AE55">
            <v>0.51393563137235465</v>
          </cell>
          <cell r="AF55">
            <v>0.12588979585012058</v>
          </cell>
          <cell r="AG55">
            <v>0.28494031762867617</v>
          </cell>
          <cell r="AH55">
            <v>0.20541505673939836</v>
          </cell>
          <cell r="AI55">
            <v>0.35967534405587653</v>
          </cell>
        </row>
        <row r="56">
          <cell r="A56">
            <v>41547</v>
          </cell>
          <cell r="B56">
            <v>380.81</v>
          </cell>
          <cell r="C56">
            <v>-3650.35</v>
          </cell>
          <cell r="D56">
            <v>-3.2165909508678869E-2</v>
          </cell>
          <cell r="E56">
            <v>90244</v>
          </cell>
          <cell r="F56">
            <v>0.23697907092775924</v>
          </cell>
          <cell r="G56">
            <v>1914.65</v>
          </cell>
          <cell r="H56">
            <v>241275.45638058244</v>
          </cell>
          <cell r="I56">
            <v>0.33091420120971954</v>
          </cell>
          <cell r="J56">
            <v>-5245.997213590018</v>
          </cell>
          <cell r="K56">
            <v>-2.5316905422466097E-2</v>
          </cell>
          <cell r="L56">
            <v>17286</v>
          </cell>
          <cell r="M56">
            <v>4781.984552351807</v>
          </cell>
          <cell r="N56">
            <v>2.1571541293737583E-2</v>
          </cell>
          <cell r="O56">
            <v>26287491.826073997</v>
          </cell>
          <cell r="P56">
            <v>0.14170349635540441</v>
          </cell>
          <cell r="Q56">
            <v>43069.83</v>
          </cell>
          <cell r="R56">
            <v>0.11310057508993987</v>
          </cell>
          <cell r="S56">
            <v>-99310.57</v>
          </cell>
          <cell r="T56">
            <v>-0.26078771565872749</v>
          </cell>
          <cell r="U56">
            <v>99.66</v>
          </cell>
          <cell r="V56">
            <v>355.29</v>
          </cell>
          <cell r="W56">
            <v>-0.32593896078001311</v>
          </cell>
          <cell r="X56">
            <v>0.82803766769926179</v>
          </cell>
          <cell r="Y56">
            <v>-0.19535934676665229</v>
          </cell>
          <cell r="Z56">
            <v>0.48377521076066088</v>
          </cell>
          <cell r="AA56">
            <v>1.0343672541446911</v>
          </cell>
          <cell r="AB56">
            <v>0.52687707434842279</v>
          </cell>
          <cell r="AC56">
            <v>0.97357949319444159</v>
          </cell>
          <cell r="AD56">
            <v>0.40847354199853303</v>
          </cell>
          <cell r="AE56">
            <v>0.46672649182491821</v>
          </cell>
          <cell r="AF56">
            <v>0.33410370640888387</v>
          </cell>
          <cell r="AG56">
            <v>0.27388265937560691</v>
          </cell>
          <cell r="AH56">
            <v>0.30399318289224542</v>
          </cell>
          <cell r="AI56">
            <v>0.38535983735858181</v>
          </cell>
        </row>
        <row r="57">
          <cell r="A57">
            <v>41639</v>
          </cell>
          <cell r="B57">
            <v>382.21</v>
          </cell>
          <cell r="C57">
            <v>-3172.59</v>
          </cell>
          <cell r="D57">
            <v>-3.2707307501111955E-2</v>
          </cell>
          <cell r="E57">
            <v>92073</v>
          </cell>
          <cell r="F57">
            <v>0.24089636587216451</v>
          </cell>
          <cell r="G57">
            <v>1926.83</v>
          </cell>
          <cell r="H57">
            <v>249359.32597174949</v>
          </cell>
          <cell r="I57">
            <v>0.33859471125169083</v>
          </cell>
          <cell r="J57">
            <v>-16430.164795381846</v>
          </cell>
          <cell r="K57">
            <v>-2.1216595397285206E-2</v>
          </cell>
          <cell r="L57">
            <v>17622</v>
          </cell>
          <cell r="M57">
            <v>4063.8668193469562</v>
          </cell>
          <cell r="N57">
            <v>2.14599114420383E-2</v>
          </cell>
          <cell r="O57">
            <v>20146760.827587001</v>
          </cell>
          <cell r="P57">
            <v>0.14317642343037401</v>
          </cell>
          <cell r="Q57">
            <v>43639.3</v>
          </cell>
          <cell r="R57">
            <v>0.1141762381936632</v>
          </cell>
          <cell r="S57">
            <v>-102514.45</v>
          </cell>
          <cell r="T57">
            <v>-0.26821498652573195</v>
          </cell>
          <cell r="U57">
            <v>99.3</v>
          </cell>
          <cell r="V57">
            <v>327.18</v>
          </cell>
          <cell r="W57">
            <v>-0.36005536506776148</v>
          </cell>
          <cell r="X57">
            <v>0.78082175925891162</v>
          </cell>
          <cell r="Y57">
            <v>-0.14981209214354033</v>
          </cell>
          <cell r="Z57">
            <v>0.4056356552557725</v>
          </cell>
          <cell r="AA57">
            <v>0.88389124712465628</v>
          </cell>
          <cell r="AB57">
            <v>0.91895462453737442</v>
          </cell>
          <cell r="AC57">
            <v>0.99000314878735252</v>
          </cell>
          <cell r="AD57">
            <v>0.47167908602595759</v>
          </cell>
          <cell r="AE57">
            <v>0.49263975797234039</v>
          </cell>
          <cell r="AF57">
            <v>0.75053152752639396</v>
          </cell>
          <cell r="AG57">
            <v>0.44010232434554031</v>
          </cell>
          <cell r="AH57">
            <v>0.59531692593596719</v>
          </cell>
          <cell r="AI57">
            <v>0.54397834195415373</v>
          </cell>
        </row>
        <row r="58">
          <cell r="A58">
            <v>41729</v>
          </cell>
          <cell r="B58">
            <v>380.31</v>
          </cell>
          <cell r="C58">
            <v>-4084.76</v>
          </cell>
          <cell r="D58">
            <v>-3.4528752859509348E-2</v>
          </cell>
          <cell r="E58">
            <v>94912</v>
          </cell>
          <cell r="F58">
            <v>0.24956482869238253</v>
          </cell>
          <cell r="G58">
            <v>1965.32</v>
          </cell>
          <cell r="H58">
            <v>260276.09445747393</v>
          </cell>
          <cell r="I58">
            <v>0.34822765843295883</v>
          </cell>
          <cell r="J58">
            <v>-2726.4939614410214</v>
          </cell>
          <cell r="K58">
            <v>-2.5779087899282217E-2</v>
          </cell>
          <cell r="L58">
            <v>17958</v>
          </cell>
          <cell r="M58">
            <v>2311.2756763496527</v>
          </cell>
          <cell r="N58">
            <v>2.0863118385172904E-2</v>
          </cell>
          <cell r="O58">
            <v>28733436.209790997</v>
          </cell>
          <cell r="P58">
            <v>0.14714261498544928</v>
          </cell>
          <cell r="Q58">
            <v>44302.33</v>
          </cell>
          <cell r="R58">
            <v>0.11649004759275329</v>
          </cell>
          <cell r="S58">
            <v>-106980.47</v>
          </cell>
          <cell r="T58">
            <v>-0.28129807262496381</v>
          </cell>
          <cell r="U58">
            <v>99.16</v>
          </cell>
          <cell r="V58">
            <v>323.52</v>
          </cell>
          <cell r="W58">
            <v>-0.47483445014685605</v>
          </cell>
          <cell r="X58">
            <v>0.67633911175682682</v>
          </cell>
          <cell r="Y58">
            <v>-5.1837488864023902E-2</v>
          </cell>
          <cell r="Z58">
            <v>0.26799337039340876</v>
          </cell>
          <cell r="AA58">
            <v>0.69516323039777894</v>
          </cell>
          <cell r="AB58">
            <v>0.48268252024459452</v>
          </cell>
          <cell r="AC58">
            <v>1.0778069349341073</v>
          </cell>
          <cell r="AD58">
            <v>0.64187440609004409</v>
          </cell>
          <cell r="AE58">
            <v>0.41439845435073508</v>
          </cell>
          <cell r="AF58">
            <v>0.91247568018320446</v>
          </cell>
          <cell r="AG58">
            <v>0.46174458595315182</v>
          </cell>
          <cell r="AH58">
            <v>0.68711013306817814</v>
          </cell>
          <cell r="AI58">
            <v>0.55075429370945661</v>
          </cell>
        </row>
        <row r="59">
          <cell r="A59">
            <v>41820</v>
          </cell>
          <cell r="B59">
            <v>383.22</v>
          </cell>
          <cell r="C59">
            <v>-4200.38</v>
          </cell>
          <cell r="D59">
            <v>-3.9424038411356409E-2</v>
          </cell>
          <cell r="E59">
            <v>96986</v>
          </cell>
          <cell r="F59">
            <v>0.25308178070038101</v>
          </cell>
          <cell r="G59">
            <v>1881.19</v>
          </cell>
          <cell r="H59">
            <v>260150.12087737996</v>
          </cell>
          <cell r="I59">
            <v>0.36086370524392253</v>
          </cell>
          <cell r="J59">
            <v>-2397.4783195600576</v>
          </cell>
          <cell r="K59">
            <v>-3.7175442118947896E-2</v>
          </cell>
          <cell r="L59">
            <v>18266</v>
          </cell>
          <cell r="M59">
            <v>4740.2351687315713</v>
          </cell>
          <cell r="N59">
            <v>2.2051809984958488E-2</v>
          </cell>
          <cell r="O59">
            <v>35096555.867054999</v>
          </cell>
          <cell r="P59">
            <v>0.15295154880257902</v>
          </cell>
          <cell r="Q59">
            <v>45507.74</v>
          </cell>
          <cell r="R59">
            <v>0.11875095245550857</v>
          </cell>
          <cell r="S59">
            <v>-112745.60000000001</v>
          </cell>
          <cell r="T59">
            <v>-0.29420593914722615</v>
          </cell>
          <cell r="U59">
            <v>98.83</v>
          </cell>
          <cell r="V59">
            <v>284.97000000000003</v>
          </cell>
          <cell r="W59">
            <v>-0.78331276614546808</v>
          </cell>
          <cell r="X59">
            <v>0.63394861363109201</v>
          </cell>
          <cell r="Y59">
            <v>4.3896955411415223E-2</v>
          </cell>
          <cell r="Z59">
            <v>0.1321945055577709</v>
          </cell>
          <cell r="AA59">
            <v>0.44759869910474526</v>
          </cell>
          <cell r="AB59">
            <v>-0.60705328414373783</v>
          </cell>
          <cell r="AC59">
            <v>0.9029194729883866</v>
          </cell>
          <cell r="AD59">
            <v>0.89114460308100341</v>
          </cell>
          <cell r="AE59">
            <v>0.20766709993565094</v>
          </cell>
          <cell r="AF59">
            <v>1.2942011828742541</v>
          </cell>
          <cell r="AG59">
            <v>0.68969791518086165</v>
          </cell>
          <cell r="AH59">
            <v>0.99194954902755783</v>
          </cell>
          <cell r="AI59">
            <v>0.59980832448160437</v>
          </cell>
        </row>
        <row r="60">
          <cell r="A60">
            <v>41912</v>
          </cell>
          <cell r="B60">
            <v>388.73</v>
          </cell>
          <cell r="C60">
            <v>-5026.18</v>
          </cell>
          <cell r="D60">
            <v>-4.2404522419159825E-2</v>
          </cell>
          <cell r="E60">
            <v>98780</v>
          </cell>
          <cell r="F60">
            <v>0.25410953618192578</v>
          </cell>
          <cell r="G60">
            <v>2028.48</v>
          </cell>
          <cell r="H60">
            <v>270288.81023757707</v>
          </cell>
          <cell r="I60">
            <v>0.34277510943414236</v>
          </cell>
          <cell r="J60">
            <v>-3911.4478158922793</v>
          </cell>
          <cell r="K60">
            <v>-3.2294968632188406E-2</v>
          </cell>
          <cell r="L60">
            <v>18258</v>
          </cell>
          <cell r="M60">
            <v>6054.9837014622717</v>
          </cell>
          <cell r="N60">
            <v>2.17751245086454E-2</v>
          </cell>
          <cell r="O60">
            <v>27799893.161729001</v>
          </cell>
          <cell r="P60">
            <v>0.14175300876803892</v>
          </cell>
          <cell r="Q60">
            <v>47115.08</v>
          </cell>
          <cell r="R60">
            <v>0.12120258276953154</v>
          </cell>
          <cell r="S60">
            <v>-114202.5</v>
          </cell>
          <cell r="T60">
            <v>-0.2937836030149461</v>
          </cell>
          <cell r="U60">
            <v>99.17</v>
          </cell>
          <cell r="V60">
            <v>333.62</v>
          </cell>
          <cell r="W60">
            <v>-0.97112912085047276</v>
          </cell>
          <cell r="X60">
            <v>0.6215608793898928</v>
          </cell>
          <cell r="Y60">
            <v>0.14770736758231162</v>
          </cell>
          <cell r="Z60">
            <v>0.13663774699072084</v>
          </cell>
          <cell r="AA60">
            <v>0.80198918296334654</v>
          </cell>
          <cell r="AB60">
            <v>-0.14037538010735362</v>
          </cell>
          <cell r="AC60">
            <v>0.9436271054124461</v>
          </cell>
          <cell r="AD60">
            <v>0.41059819503116146</v>
          </cell>
          <cell r="AE60">
            <v>0.24382699705150662</v>
          </cell>
          <cell r="AF60">
            <v>0.90090824070771214</v>
          </cell>
          <cell r="AG60">
            <v>0.40202140501411482</v>
          </cell>
          <cell r="AH60">
            <v>0.65146482286091345</v>
          </cell>
          <cell r="AI60">
            <v>0.44764590995621001</v>
          </cell>
        </row>
        <row r="61">
          <cell r="A61">
            <v>42004</v>
          </cell>
          <cell r="B61">
            <v>382.43</v>
          </cell>
          <cell r="C61">
            <v>-6452.43</v>
          </cell>
          <cell r="D61">
            <v>-5.167939230708888E-2</v>
          </cell>
          <cell r="E61">
            <v>101909</v>
          </cell>
          <cell r="F61">
            <v>0.26647752529874746</v>
          </cell>
          <cell r="G61">
            <v>2392.46</v>
          </cell>
          <cell r="H61">
            <v>289865.92955838057</v>
          </cell>
          <cell r="I61">
            <v>0.31681120477446467</v>
          </cell>
          <cell r="J61">
            <v>-10809.280878568632</v>
          </cell>
          <cell r="K61">
            <v>-2.1689419084207573E-2</v>
          </cell>
          <cell r="L61">
            <v>18417</v>
          </cell>
          <cell r="M61">
            <v>3360.2082176054059</v>
          </cell>
          <cell r="N61">
            <v>1.7997409869179956E-2</v>
          </cell>
          <cell r="O61">
            <v>22684700.487228002</v>
          </cell>
          <cell r="P61">
            <v>0.12494100870102895</v>
          </cell>
          <cell r="Q61">
            <v>47328.07</v>
          </cell>
          <cell r="R61">
            <v>0.1237561645268415</v>
          </cell>
          <cell r="S61">
            <v>-112824.46</v>
          </cell>
          <cell r="T61">
            <v>-0.29501989906649584</v>
          </cell>
          <cell r="U61">
            <v>99.27</v>
          </cell>
          <cell r="V61">
            <v>404.2</v>
          </cell>
          <cell r="W61">
            <v>-1.5555886408993203</v>
          </cell>
          <cell r="X61">
            <v>0.47248713079071503</v>
          </cell>
          <cell r="Y61">
            <v>0.25583475254005267</v>
          </cell>
          <cell r="Z61">
            <v>0.12363113585853432</v>
          </cell>
          <cell r="AA61">
            <v>1.3106721582458591</v>
          </cell>
          <cell r="AB61">
            <v>0.87374254259689943</v>
          </cell>
          <cell r="AC61">
            <v>1.4994272182175481</v>
          </cell>
          <cell r="AD61">
            <v>-0.31083033220695461</v>
          </cell>
          <cell r="AE61">
            <v>0.33367199564291672</v>
          </cell>
          <cell r="AF61">
            <v>0.7852338459528545</v>
          </cell>
          <cell r="AG61">
            <v>-1.5331279211352621E-2</v>
          </cell>
          <cell r="AH61">
            <v>0.38495128337075096</v>
          </cell>
          <cell r="AI61">
            <v>0.35931163950683387</v>
          </cell>
        </row>
        <row r="62">
          <cell r="A62">
            <v>42094</v>
          </cell>
          <cell r="B62">
            <v>368.04</v>
          </cell>
          <cell r="C62">
            <v>-5427.61</v>
          </cell>
          <cell r="D62">
            <v>-5.73486577545919E-2</v>
          </cell>
          <cell r="E62">
            <v>106846</v>
          </cell>
          <cell r="F62">
            <v>0.29031083577871969</v>
          </cell>
          <cell r="G62">
            <v>2576.0500000000002</v>
          </cell>
          <cell r="H62">
            <v>304636.91058748879</v>
          </cell>
          <cell r="I62">
            <v>0.32131663648194991</v>
          </cell>
          <cell r="J62">
            <v>-5732.894771488026</v>
          </cell>
          <cell r="K62">
            <v>-2.4102263745606603E-2</v>
          </cell>
          <cell r="L62">
            <v>18467</v>
          </cell>
          <cell r="M62">
            <v>2867.5131738314503</v>
          </cell>
          <cell r="N62">
            <v>1.7954994020100791E-2</v>
          </cell>
          <cell r="O62">
            <v>28976033.783081003</v>
          </cell>
          <cell r="P62">
            <v>0.12082951061814799</v>
          </cell>
          <cell r="Q62">
            <v>46919.97</v>
          </cell>
          <cell r="R62">
            <v>0.12748606129768503</v>
          </cell>
          <cell r="S62">
            <v>-114439.07</v>
          </cell>
          <cell r="T62">
            <v>-0.31094193565916745</v>
          </cell>
          <cell r="U62">
            <v>99.54</v>
          </cell>
          <cell r="V62">
            <v>409.66</v>
          </cell>
          <cell r="W62">
            <v>-1.9128395999439842</v>
          </cell>
          <cell r="X62">
            <v>0.18521966142132462</v>
          </cell>
          <cell r="Y62">
            <v>0.41377133821588713</v>
          </cell>
          <cell r="Z62">
            <v>-4.3878691689428893E-2</v>
          </cell>
          <cell r="AA62">
            <v>1.222402060356653</v>
          </cell>
          <cell r="AB62">
            <v>0.64302286090988192</v>
          </cell>
          <cell r="AC62">
            <v>1.5056676932011905</v>
          </cell>
          <cell r="AD62">
            <v>-0.48726097667831636</v>
          </cell>
          <cell r="AE62">
            <v>0.19076304322415094</v>
          </cell>
          <cell r="AF62">
            <v>0.47291298011470961</v>
          </cell>
          <cell r="AG62">
            <v>-4.7617276035822276E-2</v>
          </cell>
          <cell r="AH62">
            <v>0.21264785203944367</v>
          </cell>
          <cell r="AI62">
            <v>0.20170544763179732</v>
          </cell>
        </row>
        <row r="63">
          <cell r="A63">
            <v>42185</v>
          </cell>
          <cell r="B63">
            <v>348.26</v>
          </cell>
          <cell r="C63">
            <v>-4316.5600000000004</v>
          </cell>
          <cell r="D63">
            <v>-6.0939470510538107E-2</v>
          </cell>
          <cell r="E63">
            <v>108529</v>
          </cell>
          <cell r="F63">
            <v>0.3116321139378625</v>
          </cell>
          <cell r="G63">
            <v>2585.11</v>
          </cell>
          <cell r="H63">
            <v>310180.46053171722</v>
          </cell>
          <cell r="I63">
            <v>0.34453378328673356</v>
          </cell>
          <cell r="J63">
            <v>1425.2618683168294</v>
          </cell>
          <cell r="K63">
            <v>-2.1135803975988406E-2</v>
          </cell>
          <cell r="L63">
            <v>18498</v>
          </cell>
          <cell r="M63">
            <v>4433.7153100093665</v>
          </cell>
          <cell r="N63">
            <v>1.8567809057194587E-2</v>
          </cell>
          <cell r="O63">
            <v>38935152.904230997</v>
          </cell>
          <cell r="P63">
            <v>0.13150843239614296</v>
          </cell>
          <cell r="Q63">
            <v>46981.62</v>
          </cell>
          <cell r="R63">
            <v>0.1349038649285017</v>
          </cell>
          <cell r="S63">
            <v>-118735.26</v>
          </cell>
          <cell r="T63">
            <v>-0.34093855165680814</v>
          </cell>
          <cell r="U63">
            <v>99.88</v>
          </cell>
          <cell r="V63">
            <v>391.76</v>
          </cell>
          <cell r="W63">
            <v>-2.1391160572188159</v>
          </cell>
          <cell r="X63">
            <v>-7.1769799847378968E-2</v>
          </cell>
          <cell r="Y63">
            <v>0.72786651313410533</v>
          </cell>
          <cell r="Z63">
            <v>-0.35946193655522612</v>
          </cell>
          <cell r="AA63">
            <v>0.76753336980220088</v>
          </cell>
          <cell r="AB63">
            <v>0.9266800166037793</v>
          </cell>
          <cell r="AC63">
            <v>1.4155066568997323</v>
          </cell>
          <cell r="AD63">
            <v>-2.9012179385744789E-2</v>
          </cell>
          <cell r="AE63">
            <v>0.1547783229290815</v>
          </cell>
          <cell r="AF63">
            <v>7.9620037948184133E-2</v>
          </cell>
          <cell r="AG63">
            <v>5.8228757509599709E-2</v>
          </cell>
          <cell r="AH63">
            <v>6.8924397728891917E-2</v>
          </cell>
          <cell r="AI63">
            <v>0.11185136032898671</v>
          </cell>
        </row>
        <row r="64">
          <cell r="A64">
            <v>42277</v>
          </cell>
          <cell r="B64">
            <v>317.54000000000002</v>
          </cell>
          <cell r="C64">
            <v>-5017.1099999999997</v>
          </cell>
          <cell r="D64">
            <v>-6.6806418089059655E-2</v>
          </cell>
          <cell r="E64">
            <v>110802</v>
          </cell>
          <cell r="F64">
            <v>0.3489387163821881</v>
          </cell>
          <cell r="G64">
            <v>3121.94</v>
          </cell>
          <cell r="H64">
            <v>343936.96602711262</v>
          </cell>
          <cell r="I64">
            <v>0.34694118960052461</v>
          </cell>
          <cell r="J64">
            <v>-6501.0771698884155</v>
          </cell>
          <cell r="K64">
            <v>-2.1806819965202697E-2</v>
          </cell>
          <cell r="L64">
            <v>18521</v>
          </cell>
          <cell r="M64">
            <v>8059.3899709415255</v>
          </cell>
          <cell r="N64">
            <v>1.8884349510460679E-2</v>
          </cell>
          <cell r="O64">
            <v>31141031.32638</v>
          </cell>
          <cell r="P64">
            <v>0.12280026718524308</v>
          </cell>
          <cell r="Q64">
            <v>46732.57</v>
          </cell>
          <cell r="R64">
            <v>0.14717065566542797</v>
          </cell>
          <cell r="S64">
            <v>-117067.8</v>
          </cell>
          <cell r="T64">
            <v>-0.36867103357057379</v>
          </cell>
          <cell r="U64">
            <v>100.61</v>
          </cell>
          <cell r="V64">
            <v>473.94</v>
          </cell>
          <cell r="W64">
            <v>-2.5088240323524804</v>
          </cell>
          <cell r="X64">
            <v>-0.52143344535550473</v>
          </cell>
          <cell r="Y64">
            <v>1.2472843858576839</v>
          </cell>
          <cell r="Z64">
            <v>-0.65122506847705874</v>
          </cell>
          <cell r="AA64">
            <v>0.72036763635552981</v>
          </cell>
          <cell r="AB64">
            <v>0.86251650126638757</v>
          </cell>
          <cell r="AC64">
            <v>1.3689353204110748</v>
          </cell>
          <cell r="AD64">
            <v>-0.40269281095875054</v>
          </cell>
          <cell r="AE64">
            <v>1.4366060843360243E-2</v>
          </cell>
          <cell r="AF64">
            <v>-0.76480304376232844</v>
          </cell>
          <cell r="AG64">
            <v>-0.42771688700228649</v>
          </cell>
          <cell r="AH64">
            <v>-0.59625996538230752</v>
          </cell>
          <cell r="AI64">
            <v>-0.29094695226947365</v>
          </cell>
        </row>
        <row r="65">
          <cell r="A65">
            <v>42369</v>
          </cell>
          <cell r="B65">
            <v>295.66000000000003</v>
          </cell>
          <cell r="C65">
            <v>-3802.92</v>
          </cell>
          <cell r="D65">
            <v>-6.2789014408442118E-2</v>
          </cell>
          <cell r="E65">
            <v>111918</v>
          </cell>
          <cell r="F65">
            <v>0.37853615639586013</v>
          </cell>
          <cell r="G65">
            <v>3149.47</v>
          </cell>
          <cell r="H65">
            <v>341199.73337591143</v>
          </cell>
          <cell r="I65">
            <v>0.36641954802846638</v>
          </cell>
          <cell r="J65">
            <v>-13921.901457174785</v>
          </cell>
          <cell r="K65">
            <v>-2.6558577316918342E-2</v>
          </cell>
          <cell r="L65">
            <v>18663</v>
          </cell>
          <cell r="M65">
            <v>3564.8191629364892</v>
          </cell>
          <cell r="N65">
            <v>2.0324313356028703E-2</v>
          </cell>
          <cell r="O65">
            <v>24653106.113881003</v>
          </cell>
          <cell r="P65">
            <v>0.1328490163431657</v>
          </cell>
          <cell r="Q65">
            <v>46740.37</v>
          </cell>
          <cell r="R65">
            <v>0.15808824325238449</v>
          </cell>
          <cell r="S65">
            <v>-119684.4</v>
          </cell>
          <cell r="T65">
            <v>-0.40480416694852189</v>
          </cell>
          <cell r="U65">
            <v>100.53</v>
          </cell>
          <cell r="V65">
            <v>445.6</v>
          </cell>
          <cell r="W65">
            <v>-2.255665782653252</v>
          </cell>
          <cell r="X65">
            <v>-0.87817707522952837</v>
          </cell>
          <cell r="Y65">
            <v>1.709572382882018</v>
          </cell>
          <cell r="Z65">
            <v>-1.0313683312863831</v>
          </cell>
          <cell r="AA65">
            <v>0.33874902202852653</v>
          </cell>
          <cell r="AB65">
            <v>0.40814661944975117</v>
          </cell>
          <cell r="AC65">
            <v>1.1570791734588992</v>
          </cell>
          <cell r="AD65">
            <v>2.8514319465363334E-2</v>
          </cell>
          <cell r="AE65">
            <v>-6.5393708985575658E-2</v>
          </cell>
          <cell r="AF65">
            <v>-0.67226352795843913</v>
          </cell>
          <cell r="AG65">
            <v>-0.26013718919908813</v>
          </cell>
          <cell r="AH65">
            <v>-0.46620035857876363</v>
          </cell>
          <cell r="AI65">
            <v>-0.26579703378216962</v>
          </cell>
        </row>
        <row r="66">
          <cell r="A66">
            <v>42460</v>
          </cell>
          <cell r="B66">
            <v>280.91000000000003</v>
          </cell>
          <cell r="C66">
            <v>-3439.34</v>
          </cell>
          <cell r="D66">
            <v>-5.9007974084226263E-2</v>
          </cell>
          <cell r="E66">
            <v>115603</v>
          </cell>
          <cell r="F66">
            <v>0.41153038339681747</v>
          </cell>
          <cell r="G66">
            <v>3022.35</v>
          </cell>
          <cell r="H66">
            <v>352061.01751419681</v>
          </cell>
          <cell r="I66">
            <v>0.41467321526689194</v>
          </cell>
          <cell r="J66">
            <v>-6203.0364321213265</v>
          </cell>
          <cell r="K66">
            <v>-2.968257442016595E-2</v>
          </cell>
          <cell r="L66">
            <v>18749</v>
          </cell>
          <cell r="M66">
            <v>3286.5243313024484</v>
          </cell>
          <cell r="N66">
            <v>2.2784757107765233E-2</v>
          </cell>
          <cell r="O66">
            <v>30194030.560306996</v>
          </cell>
          <cell r="P66">
            <v>0.14714027558964782</v>
          </cell>
          <cell r="Q66">
            <v>47228.61</v>
          </cell>
          <cell r="R66">
            <v>0.16812719376312699</v>
          </cell>
          <cell r="S66">
            <v>-127006.54</v>
          </cell>
          <cell r="T66">
            <v>-0.4521253782350218</v>
          </cell>
          <cell r="U66">
            <v>100.12</v>
          </cell>
          <cell r="V66">
            <v>433.79</v>
          </cell>
          <cell r="W66">
            <v>-2.0174020614497228</v>
          </cell>
          <cell r="X66">
            <v>-1.2758628311520632</v>
          </cell>
          <cell r="Y66">
            <v>2.1346558811249938</v>
          </cell>
          <cell r="Z66">
            <v>-1.5292172023039738</v>
          </cell>
          <cell r="AA66">
            <v>-0.60663339794525428</v>
          </cell>
          <cell r="AB66">
            <v>0.10942551701685212</v>
          </cell>
          <cell r="AC66">
            <v>0.79508388125777141</v>
          </cell>
          <cell r="AD66">
            <v>0.64177401905334708</v>
          </cell>
          <cell r="AE66">
            <v>-0.21852202429975609</v>
          </cell>
          <cell r="AF66">
            <v>-0.19799850946350026</v>
          </cell>
          <cell r="AG66">
            <v>-0.19030245980403607</v>
          </cell>
          <cell r="AH66">
            <v>-0.19415048463376816</v>
          </cell>
          <cell r="AI66">
            <v>-0.20633625446676213</v>
          </cell>
        </row>
        <row r="67">
          <cell r="A67">
            <v>42551</v>
          </cell>
          <cell r="B67">
            <v>273.72000000000003</v>
          </cell>
          <cell r="C67">
            <v>-2589.5100000000002</v>
          </cell>
          <cell r="D67">
            <v>-5.4248429051585556E-2</v>
          </cell>
          <cell r="E67">
            <v>116985</v>
          </cell>
          <cell r="F67">
            <v>0.4273893029373082</v>
          </cell>
          <cell r="G67">
            <v>2916.15</v>
          </cell>
          <cell r="H67">
            <v>359044.63644962915</v>
          </cell>
          <cell r="I67">
            <v>0.44981305180815673</v>
          </cell>
          <cell r="J67">
            <v>-356.26817660128472</v>
          </cell>
          <cell r="K67">
            <v>-3.3803549572710569E-2</v>
          </cell>
          <cell r="L67">
            <v>18577</v>
          </cell>
          <cell r="M67">
            <v>4806.1890639429066</v>
          </cell>
          <cell r="N67">
            <v>2.4701466599778097E-2</v>
          </cell>
          <cell r="O67">
            <v>40534335.969621003</v>
          </cell>
          <cell r="P67">
            <v>0.1585080735253499</v>
          </cell>
          <cell r="Q67">
            <v>47029.56</v>
          </cell>
          <cell r="R67">
            <v>0.17181630863656289</v>
          </cell>
          <cell r="S67">
            <v>-131147.96</v>
          </cell>
          <cell r="T67">
            <v>-0.47913181353207646</v>
          </cell>
          <cell r="U67">
            <v>99.9</v>
          </cell>
          <cell r="V67">
            <v>406.56</v>
          </cell>
          <cell r="W67">
            <v>-1.7174774868690661</v>
          </cell>
          <cell r="X67">
            <v>-1.4670134347225521</v>
          </cell>
          <cell r="Y67">
            <v>2.2908656217888455</v>
          </cell>
          <cell r="Z67">
            <v>-1.8133418676986652</v>
          </cell>
          <cell r="AA67">
            <v>-1.295090578675544</v>
          </cell>
          <cell r="AB67">
            <v>-0.28462806241412142</v>
          </cell>
          <cell r="AC67">
            <v>0.51308604564938809</v>
          </cell>
          <cell r="AD67">
            <v>1.1295835414186781</v>
          </cell>
          <cell r="AE67">
            <v>-0.33050202769037967</v>
          </cell>
          <cell r="AF67">
            <v>5.6485158997199476E-2</v>
          </cell>
          <cell r="AG67">
            <v>-2.9286398717899929E-2</v>
          </cell>
          <cell r="AH67">
            <v>1.3599380139649774E-2</v>
          </cell>
          <cell r="AI67">
            <v>-0.15845132377536494</v>
          </cell>
        </row>
        <row r="68">
          <cell r="A68">
            <v>42643</v>
          </cell>
          <cell r="B68">
            <v>277.43</v>
          </cell>
          <cell r="C68">
            <v>-3465.93</v>
          </cell>
          <cell r="D68">
            <v>-4.793173052661933E-2</v>
          </cell>
          <cell r="E68">
            <v>116757</v>
          </cell>
          <cell r="F68">
            <v>0.42085210683776086</v>
          </cell>
          <cell r="G68">
            <v>2879.95</v>
          </cell>
          <cell r="H68">
            <v>363468.2061434628</v>
          </cell>
          <cell r="I68">
            <v>0.45491269627690023</v>
          </cell>
          <cell r="J68">
            <v>-12124.611223617396</v>
          </cell>
          <cell r="K68">
            <v>-4.0809072174061239E-2</v>
          </cell>
          <cell r="L68">
            <v>18983</v>
          </cell>
          <cell r="M68">
            <v>10132.700671178038</v>
          </cell>
          <cell r="N68">
            <v>2.7272409479903816E-2</v>
          </cell>
          <cell r="O68">
            <v>31025356.014000006</v>
          </cell>
          <cell r="P68">
            <v>0.1582093571888345</v>
          </cell>
          <cell r="Q68">
            <v>47112.98</v>
          </cell>
          <cell r="R68">
            <v>0.16981934181595357</v>
          </cell>
          <cell r="S68">
            <v>-134859.18</v>
          </cell>
          <cell r="T68">
            <v>-0.48610164726237243</v>
          </cell>
          <cell r="U68">
            <v>99.74</v>
          </cell>
          <cell r="V68">
            <v>359.99</v>
          </cell>
          <cell r="W68">
            <v>-1.3194282815643261</v>
          </cell>
          <cell r="X68">
            <v>-1.3882193544009582</v>
          </cell>
          <cell r="Y68">
            <v>2.2063072168966813</v>
          </cell>
          <cell r="Z68">
            <v>-1.8866688971527505</v>
          </cell>
          <cell r="AA68">
            <v>-1.3950024507628009</v>
          </cell>
          <cell r="AB68">
            <v>-0.9545062234465248</v>
          </cell>
          <cell r="AC68">
            <v>0.13483345667365085</v>
          </cell>
          <cell r="AD68">
            <v>1.11676516847939</v>
          </cell>
          <cell r="AE68">
            <v>-0.43573992065970485</v>
          </cell>
          <cell r="AF68">
            <v>0.24156419060499454</v>
          </cell>
          <cell r="AG68">
            <v>0.2460906840871443</v>
          </cell>
          <cell r="AH68">
            <v>0.24382743734606943</v>
          </cell>
          <cell r="AI68">
            <v>-9.5956241656817709E-2</v>
          </cell>
        </row>
        <row r="69">
          <cell r="A69">
            <v>42735</v>
          </cell>
          <cell r="B69">
            <v>283.73</v>
          </cell>
          <cell r="C69">
            <v>-2541.41</v>
          </cell>
          <cell r="D69">
            <v>-4.2421280795122127E-2</v>
          </cell>
          <cell r="E69">
            <v>120397</v>
          </cell>
          <cell r="F69">
            <v>0.42433651711133824</v>
          </cell>
          <cell r="G69">
            <v>3000.71</v>
          </cell>
          <cell r="H69">
            <v>377085.39916438825</v>
          </cell>
          <cell r="I69">
            <v>0.44290484702110461</v>
          </cell>
          <cell r="J69">
            <v>-14255.559289234538</v>
          </cell>
          <cell r="K69">
            <v>-3.8688989873395876E-2</v>
          </cell>
          <cell r="L69">
            <v>18647</v>
          </cell>
          <cell r="M69">
            <v>3302.335961929246</v>
          </cell>
          <cell r="N69">
            <v>2.5285372634805965E-2</v>
          </cell>
          <cell r="O69">
            <v>24980100.284000002</v>
          </cell>
          <cell r="P69">
            <v>0.14885493985285075</v>
          </cell>
          <cell r="Q69">
            <v>46682.8</v>
          </cell>
          <cell r="R69">
            <v>0.16453247806012758</v>
          </cell>
          <cell r="S69">
            <v>-135168.57</v>
          </cell>
          <cell r="T69">
            <v>-0.47639858316004657</v>
          </cell>
          <cell r="U69">
            <v>100.14</v>
          </cell>
          <cell r="V69">
            <v>365.38</v>
          </cell>
          <cell r="W69">
            <v>-0.97218515640569625</v>
          </cell>
          <cell r="X69">
            <v>-1.4302176207507551</v>
          </cell>
          <cell r="Y69">
            <v>1.982443324186417</v>
          </cell>
          <cell r="Z69">
            <v>-1.7845865671061323</v>
          </cell>
          <cell r="AA69">
            <v>-1.1597455213353822</v>
          </cell>
          <cell r="AB69">
            <v>-0.75178090035167888</v>
          </cell>
          <cell r="AC69">
            <v>0.42717827571206129</v>
          </cell>
          <cell r="AD69">
            <v>0.71535287398909575</v>
          </cell>
          <cell r="AE69">
            <v>-0.37169266150775881</v>
          </cell>
          <cell r="AF69">
            <v>-0.22113338841446847</v>
          </cell>
          <cell r="AG69">
            <v>0.21421861029888609</v>
          </cell>
          <cell r="AH69">
            <v>-3.4573890577911937E-3</v>
          </cell>
          <cell r="AI69">
            <v>-0.187575025282775</v>
          </cell>
        </row>
        <row r="70">
          <cell r="A70">
            <v>42825</v>
          </cell>
          <cell r="B70">
            <v>296.27999999999997</v>
          </cell>
          <cell r="C70">
            <v>-3506.02</v>
          </cell>
          <cell r="D70">
            <v>-4.0849432968813285E-2</v>
          </cell>
          <cell r="E70">
            <v>120978</v>
          </cell>
          <cell r="F70">
            <v>0.40832320777642772</v>
          </cell>
          <cell r="G70">
            <v>2880.24</v>
          </cell>
          <cell r="H70">
            <v>385226.35756408679</v>
          </cell>
          <cell r="I70">
            <v>0.45142434948287385</v>
          </cell>
          <cell r="J70">
            <v>-10402.466548945353</v>
          </cell>
          <cell r="K70">
            <v>-4.3520921682938203E-2</v>
          </cell>
          <cell r="L70">
            <v>18776</v>
          </cell>
          <cell r="M70">
            <v>3451.010587856962</v>
          </cell>
          <cell r="N70">
            <v>2.5419869283253616E-2</v>
          </cell>
          <cell r="O70">
            <v>32410668.116</v>
          </cell>
          <cell r="P70">
            <v>0.15110954001767413</v>
          </cell>
          <cell r="Q70">
            <v>46937.4</v>
          </cell>
          <cell r="R70">
            <v>0.1584224382341029</v>
          </cell>
          <cell r="S70">
            <v>-140615.71</v>
          </cell>
          <cell r="T70">
            <v>-0.47460412447684619</v>
          </cell>
          <cell r="U70">
            <v>99.71</v>
          </cell>
          <cell r="V70">
            <v>331.48</v>
          </cell>
          <cell r="W70">
            <v>-0.87313455653152183</v>
          </cell>
          <cell r="X70">
            <v>-1.2372061273313004</v>
          </cell>
          <cell r="Y70">
            <v>1.723723341368375</v>
          </cell>
          <cell r="Z70">
            <v>-1.7657077344382566</v>
          </cell>
          <cell r="AA70">
            <v>-1.3266590082312808</v>
          </cell>
          <cell r="AB70">
            <v>-1.2138171792991093</v>
          </cell>
          <cell r="AC70">
            <v>0.40739031936454573</v>
          </cell>
          <cell r="AD70">
            <v>0.81210120077569081</v>
          </cell>
          <cell r="AE70">
            <v>-0.43416371804035719</v>
          </cell>
          <cell r="AF70">
            <v>0.27626650903145511</v>
          </cell>
          <cell r="AG70">
            <v>0.41467562354971266</v>
          </cell>
          <cell r="AH70">
            <v>0.34547106629058388</v>
          </cell>
          <cell r="AI70">
            <v>-4.4346325874886655E-2</v>
          </cell>
        </row>
        <row r="71">
          <cell r="A71">
            <v>42916</v>
          </cell>
          <cell r="B71">
            <v>302.29000000000002</v>
          </cell>
          <cell r="C71">
            <v>-2480.9699999999998</v>
          </cell>
          <cell r="D71">
            <v>-3.9678222898541136E-2</v>
          </cell>
          <cell r="E71">
            <v>120826</v>
          </cell>
          <cell r="F71">
            <v>0.39970227265208907</v>
          </cell>
          <cell r="G71">
            <v>3038.26</v>
          </cell>
          <cell r="H71">
            <v>389624.8871712985</v>
          </cell>
          <cell r="I71">
            <v>0.4242266748351301</v>
          </cell>
          <cell r="J71">
            <v>-283.99429350177161</v>
          </cell>
          <cell r="K71">
            <v>-4.0358442915081942E-2</v>
          </cell>
          <cell r="L71">
            <v>18782</v>
          </cell>
          <cell r="M71">
            <v>6715.17204594346</v>
          </cell>
          <cell r="N71">
            <v>2.5697195177507161E-2</v>
          </cell>
          <cell r="O71">
            <v>41737495.115999997</v>
          </cell>
          <cell r="P71">
            <v>0.14171229572071317</v>
          </cell>
          <cell r="Q71">
            <v>47242.47</v>
          </cell>
          <cell r="R71">
            <v>0.15628194779847168</v>
          </cell>
          <cell r="S71">
            <v>-142554.92000000001</v>
          </cell>
          <cell r="T71">
            <v>-0.47158331403619042</v>
          </cell>
          <cell r="U71">
            <v>99.35</v>
          </cell>
          <cell r="V71">
            <v>328.24</v>
          </cell>
          <cell r="W71">
            <v>-0.79933030010324313</v>
          </cell>
          <cell r="X71">
            <v>-1.1332963402772722</v>
          </cell>
          <cell r="Y71">
            <v>1.6330876557595959</v>
          </cell>
          <cell r="Z71">
            <v>-1.7339269108593032</v>
          </cell>
          <cell r="AA71">
            <v>-0.793804099005474</v>
          </cell>
          <cell r="AB71">
            <v>-0.91141640467208451</v>
          </cell>
          <cell r="AC71">
            <v>0.36658846479892226</v>
          </cell>
          <cell r="AD71">
            <v>0.40885113616520125</v>
          </cell>
          <cell r="AE71">
            <v>-0.37040584977420721</v>
          </cell>
          <cell r="AF71">
            <v>0.6926943301489652</v>
          </cell>
          <cell r="AG71">
            <v>0.43383434694005724</v>
          </cell>
          <cell r="AH71">
            <v>0.56326433854451119</v>
          </cell>
          <cell r="AI71">
            <v>9.6429244385151991E-2</v>
          </cell>
        </row>
        <row r="72">
          <cell r="A72">
            <v>43008</v>
          </cell>
          <cell r="B72">
            <v>306.60000000000002</v>
          </cell>
          <cell r="C72">
            <v>-2724.87</v>
          </cell>
          <cell r="D72">
            <v>-3.6703424657534248E-2</v>
          </cell>
          <cell r="E72">
            <v>124391</v>
          </cell>
          <cell r="F72">
            <v>0.40571102413568166</v>
          </cell>
          <cell r="G72">
            <v>2936.67</v>
          </cell>
          <cell r="H72">
            <v>401757.02204789355</v>
          </cell>
          <cell r="I72">
            <v>0.44620679447673267</v>
          </cell>
          <cell r="J72">
            <v>-3785.2602433531611</v>
          </cell>
          <cell r="K72">
            <v>-3.1905622022085203E-2</v>
          </cell>
          <cell r="L72">
            <v>19099</v>
          </cell>
          <cell r="M72">
            <v>10971.597938042189</v>
          </cell>
          <cell r="N72">
            <v>2.7144133037386234E-2</v>
          </cell>
          <cell r="O72">
            <v>34626671.616999999</v>
          </cell>
          <cell r="P72">
            <v>0.14855337324763548</v>
          </cell>
          <cell r="Q72">
            <v>47524.57</v>
          </cell>
          <cell r="R72">
            <v>0.15500512067840833</v>
          </cell>
          <cell r="S72">
            <v>-146384.64000000001</v>
          </cell>
          <cell r="T72">
            <v>-0.47744500978473586</v>
          </cell>
          <cell r="U72">
            <v>99.07</v>
          </cell>
          <cell r="V72">
            <v>307.63</v>
          </cell>
          <cell r="W72">
            <v>-0.61187223619618625</v>
          </cell>
          <cell r="X72">
            <v>-1.2057209761335339</v>
          </cell>
          <cell r="Y72">
            <v>1.5790224286955477</v>
          </cell>
          <cell r="Z72">
            <v>-1.7955956325873648</v>
          </cell>
          <cell r="AA72">
            <v>-1.2244370412732102</v>
          </cell>
          <cell r="AB72">
            <v>-0.10314549648241916</v>
          </cell>
          <cell r="AC72">
            <v>0.15370625889028353</v>
          </cell>
          <cell r="AD72">
            <v>0.70241219167899005</v>
          </cell>
          <cell r="AE72">
            <v>-0.31320381292598665</v>
          </cell>
          <cell r="AF72">
            <v>1.016582635462586</v>
          </cell>
          <cell r="AG72">
            <v>0.55570511517308208</v>
          </cell>
          <cell r="AH72">
            <v>0.78614387531783403</v>
          </cell>
          <cell r="AI72">
            <v>0.23647003119592369</v>
          </cell>
        </row>
        <row r="73">
          <cell r="A73">
            <v>43100</v>
          </cell>
          <cell r="B73">
            <v>311.85000000000002</v>
          </cell>
          <cell r="C73">
            <v>-1529.01</v>
          </cell>
          <cell r="D73">
            <v>-3.2839089305755978E-2</v>
          </cell>
          <cell r="E73">
            <v>124636</v>
          </cell>
          <cell r="F73">
            <v>0.39966650633317302</v>
          </cell>
          <cell r="G73">
            <v>2984</v>
          </cell>
          <cell r="H73">
            <v>411885.91226885881</v>
          </cell>
          <cell r="I73">
            <v>0.44262136264218715</v>
          </cell>
          <cell r="J73">
            <v>-15513.907896195042</v>
          </cell>
          <cell r="K73">
            <v>-3.2223194735124479E-2</v>
          </cell>
          <cell r="L73">
            <v>19117</v>
          </cell>
          <cell r="M73">
            <v>2522.2420234346173</v>
          </cell>
          <cell r="N73">
            <v>2.5425563558558077E-2</v>
          </cell>
          <cell r="O73">
            <v>27655427.061000001</v>
          </cell>
          <cell r="P73">
            <v>0.14661086148733601</v>
          </cell>
          <cell r="Q73">
            <v>47637.23</v>
          </cell>
          <cell r="R73">
            <v>0.15275687029020363</v>
          </cell>
          <cell r="S73">
            <v>-147950.17000000001</v>
          </cell>
          <cell r="T73">
            <v>-0.47442735289401955</v>
          </cell>
          <cell r="U73">
            <v>98.76</v>
          </cell>
          <cell r="V73">
            <v>310.98</v>
          </cell>
          <cell r="W73">
            <v>-0.36835964655354891</v>
          </cell>
          <cell r="X73">
            <v>-1.1328652419650043</v>
          </cell>
          <cell r="Y73">
            <v>1.4838238181513965</v>
          </cell>
          <cell r="Z73">
            <v>-1.7638479863349077</v>
          </cell>
          <cell r="AA73">
            <v>-1.1541915155260096</v>
          </cell>
          <cell r="AB73">
            <v>-0.13351225669582645</v>
          </cell>
          <cell r="AC73">
            <v>0.40655254331245883</v>
          </cell>
          <cell r="AD73">
            <v>0.61905605363533833</v>
          </cell>
          <cell r="AE73">
            <v>-0.25541802899701282</v>
          </cell>
          <cell r="AF73">
            <v>1.3751732592026511</v>
          </cell>
          <cell r="AG73">
            <v>0.5358959412972627</v>
          </cell>
          <cell r="AH73">
            <v>0.95553460024995696</v>
          </cell>
          <cell r="AI73">
            <v>0.35005828562647207</v>
          </cell>
        </row>
        <row r="74">
          <cell r="A74">
            <v>43190</v>
          </cell>
          <cell r="B74">
            <v>318.74</v>
          </cell>
          <cell r="C74">
            <v>-2840.9</v>
          </cell>
          <cell r="D74">
            <v>-3.0042511137604318E-2</v>
          </cell>
          <cell r="E74">
            <v>126853</v>
          </cell>
          <cell r="F74">
            <v>0.39798268180962543</v>
          </cell>
          <cell r="G74">
            <v>2780.47</v>
          </cell>
          <cell r="H74">
            <v>417122.2297719724</v>
          </cell>
          <cell r="I74">
            <v>0.47066136878411291</v>
          </cell>
          <cell r="J74">
            <v>-7079.9381263957048</v>
          </cell>
          <cell r="K74">
            <v>-3.008540545105317E-2</v>
          </cell>
          <cell r="L74">
            <v>19227</v>
          </cell>
          <cell r="M74">
            <v>3659.3547620828349</v>
          </cell>
          <cell r="N74">
            <v>2.6931957523617947E-2</v>
          </cell>
          <cell r="O74">
            <v>35067850.195</v>
          </cell>
          <cell r="P74">
            <v>0.15693981786665503</v>
          </cell>
          <cell r="Q74">
            <v>47614.41</v>
          </cell>
          <cell r="R74">
            <v>0.14938322770910462</v>
          </cell>
          <cell r="S74">
            <v>-153560.76</v>
          </cell>
          <cell r="T74">
            <v>-0.48177436154859765</v>
          </cell>
          <cell r="U74">
            <v>98.92</v>
          </cell>
          <cell r="V74">
            <v>325.97000000000003</v>
          </cell>
          <cell r="W74">
            <v>-0.19213218959868245</v>
          </cell>
          <cell r="X74">
            <v>-1.1125697815358662</v>
          </cell>
          <cell r="Y74">
            <v>1.340972253273131</v>
          </cell>
          <cell r="Z74">
            <v>-1.8411431329424857</v>
          </cell>
          <cell r="AA74">
            <v>-1.7035493235357617</v>
          </cell>
          <cell r="AB74">
            <v>7.0906233655252407E-2</v>
          </cell>
          <cell r="AC74">
            <v>0.18492279739081496</v>
          </cell>
          <cell r="AD74">
            <v>1.0622873026799464</v>
          </cell>
          <cell r="AE74">
            <v>-0.27378823007670638</v>
          </cell>
          <cell r="AF74">
            <v>1.1900942275948723</v>
          </cell>
          <cell r="AG74">
            <v>0.44725727968576146</v>
          </cell>
          <cell r="AH74">
            <v>0.81867575364031686</v>
          </cell>
          <cell r="AI74">
            <v>0.27244376178180524</v>
          </cell>
        </row>
        <row r="75">
          <cell r="A75">
            <v>43281</v>
          </cell>
          <cell r="B75">
            <v>327.08</v>
          </cell>
          <cell r="C75">
            <v>-3262.95</v>
          </cell>
          <cell r="D75">
            <v>-3.1667267946679713E-2</v>
          </cell>
          <cell r="E75">
            <v>126565</v>
          </cell>
          <cell r="F75">
            <v>0.38695426195426197</v>
          </cell>
          <cell r="G75">
            <v>2930.8</v>
          </cell>
          <cell r="H75">
            <v>439699.46596724249</v>
          </cell>
          <cell r="I75">
            <v>0.45868629719751336</v>
          </cell>
          <cell r="J75">
            <v>-4958.6944787159937</v>
          </cell>
          <cell r="K75">
            <v>-3.2691010334209507E-2</v>
          </cell>
          <cell r="L75">
            <v>19477</v>
          </cell>
          <cell r="M75">
            <v>5827.8791230171628</v>
          </cell>
          <cell r="N75">
            <v>2.3973428407789422E-2</v>
          </cell>
          <cell r="O75">
            <v>39302595</v>
          </cell>
          <cell r="P75">
            <v>0.14255338976553769</v>
          </cell>
          <cell r="Q75">
            <v>47497.17</v>
          </cell>
          <cell r="R75">
            <v>0.14521575761281644</v>
          </cell>
          <cell r="S75">
            <v>-154753.78</v>
          </cell>
          <cell r="T75">
            <v>-0.47313739757857409</v>
          </cell>
          <cell r="U75">
            <v>99.35</v>
          </cell>
          <cell r="V75">
            <v>388.06</v>
          </cell>
          <cell r="W75">
            <v>-0.29451686952440109</v>
          </cell>
          <cell r="X75">
            <v>-0.97964211856367256</v>
          </cell>
          <cell r="Y75">
            <v>1.1645073164794395</v>
          </cell>
          <cell r="Z75">
            <v>-1.7502768460365428</v>
          </cell>
          <cell r="AA75">
            <v>-1.468934571874285</v>
          </cell>
          <cell r="AB75">
            <v>-0.17824545806426265</v>
          </cell>
          <cell r="AC75">
            <v>0.62019940593511536</v>
          </cell>
          <cell r="AD75">
            <v>0.44494376259917323</v>
          </cell>
          <cell r="AE75">
            <v>-0.3052456723811795</v>
          </cell>
          <cell r="AF75">
            <v>0.6926943301489652</v>
          </cell>
          <cell r="AG75">
            <v>8.0107546566474536E-2</v>
          </cell>
          <cell r="AH75">
            <v>0.38640093835771988</v>
          </cell>
          <cell r="AI75">
            <v>4.057763298827019E-2</v>
          </cell>
        </row>
        <row r="76">
          <cell r="A76">
            <v>43373</v>
          </cell>
          <cell r="B76">
            <v>333.37</v>
          </cell>
          <cell r="C76">
            <v>-3202.98</v>
          </cell>
          <cell r="D76">
            <v>-3.2503944566097731E-2</v>
          </cell>
          <cell r="E76">
            <v>127519</v>
          </cell>
          <cell r="F76">
            <v>0.38251492335843057</v>
          </cell>
          <cell r="G76">
            <v>2972.18</v>
          </cell>
          <cell r="H76">
            <v>457120.71022225259</v>
          </cell>
          <cell r="I76">
            <v>0.46134867249764189</v>
          </cell>
          <cell r="J76">
            <v>-12405.934585624449</v>
          </cell>
          <cell r="K76">
            <v>-4.0328055640757962E-2</v>
          </cell>
          <cell r="L76">
            <v>19578</v>
          </cell>
          <cell r="M76">
            <v>12102.716336212097</v>
          </cell>
          <cell r="N76">
            <v>2.4335208697311636E-2</v>
          </cell>
          <cell r="O76">
            <v>36291676</v>
          </cell>
          <cell r="P76">
            <v>0.13959686324430226</v>
          </cell>
          <cell r="Q76">
            <v>47519.98</v>
          </cell>
          <cell r="R76">
            <v>0.14254426013138555</v>
          </cell>
          <cell r="S76">
            <v>-156310.57999999999</v>
          </cell>
          <cell r="T76">
            <v>-0.46888016318204995</v>
          </cell>
          <cell r="U76">
            <v>99.12</v>
          </cell>
          <cell r="V76">
            <v>361.73</v>
          </cell>
          <cell r="W76">
            <v>-0.34724037091363025</v>
          </cell>
          <cell r="X76">
            <v>-0.92613391771301867</v>
          </cell>
          <cell r="Y76">
            <v>1.0513869764858568</v>
          </cell>
          <cell r="Z76">
            <v>-1.7054880656916185</v>
          </cell>
          <cell r="AA76">
            <v>-1.5210956395850022</v>
          </cell>
          <cell r="AB76">
            <v>-0.90851072973514113</v>
          </cell>
          <cell r="AC76">
            <v>0.56697211247401835</v>
          </cell>
          <cell r="AD76">
            <v>0.31807470683818018</v>
          </cell>
          <cell r="AE76">
            <v>-0.43400436598004444</v>
          </cell>
          <cell r="AF76">
            <v>0.9587454380851409</v>
          </cell>
          <cell r="AG76">
            <v>0.23580174004418145</v>
          </cell>
          <cell r="AH76">
            <v>0.59727358906466121</v>
          </cell>
          <cell r="AI76">
            <v>8.1634611542308388E-2</v>
          </cell>
        </row>
        <row r="77">
          <cell r="A77">
            <v>43465</v>
          </cell>
          <cell r="B77">
            <v>334.01</v>
          </cell>
          <cell r="C77">
            <v>-3740.2</v>
          </cell>
          <cell r="D77">
            <v>-3.9061794557049188E-2</v>
          </cell>
          <cell r="E77">
            <v>132016</v>
          </cell>
          <cell r="F77">
            <v>0.39524565132780454</v>
          </cell>
          <cell r="G77">
            <v>3249.75</v>
          </cell>
          <cell r="H77">
            <v>474025.92656263342</v>
          </cell>
          <cell r="I77">
            <v>0.43670953462982348</v>
          </cell>
          <cell r="J77">
            <v>-6112.1775466661802</v>
          </cell>
          <cell r="K77">
            <v>-2.8151248753078631E-2</v>
          </cell>
          <cell r="L77">
            <v>19718</v>
          </cell>
          <cell r="M77">
            <v>3157.5691185686928</v>
          </cell>
          <cell r="N77">
            <v>2.2799338703964105E-2</v>
          </cell>
          <cell r="O77">
            <v>33761834.762479998</v>
          </cell>
          <cell r="P77">
            <v>0.13305457583923005</v>
          </cell>
          <cell r="Q77">
            <v>48401.5</v>
          </cell>
          <cell r="R77">
            <v>0.14491033202598724</v>
          </cell>
          <cell r="S77">
            <v>-154321.79</v>
          </cell>
          <cell r="T77">
            <v>-0.46202745426783637</v>
          </cell>
          <cell r="U77">
            <v>100.19</v>
          </cell>
          <cell r="V77">
            <v>434.61</v>
          </cell>
          <cell r="W77">
            <v>-0.76048582929489461</v>
          </cell>
          <cell r="X77">
            <v>-1.0795798273807233</v>
          </cell>
          <cell r="Y77">
            <v>1.1515745525651899</v>
          </cell>
          <cell r="Z77">
            <v>-1.6333932628832488</v>
          </cell>
          <cell r="AA77">
            <v>-1.0383674011601165</v>
          </cell>
          <cell r="AB77">
            <v>0.25585308283648084</v>
          </cell>
          <cell r="AC77">
            <v>0.79293854907001304</v>
          </cell>
          <cell r="AD77">
            <v>3.733519050476538E-2</v>
          </cell>
          <cell r="AE77">
            <v>-0.28426561821781682</v>
          </cell>
          <cell r="AF77">
            <v>-0.27897058579189726</v>
          </cell>
          <cell r="AG77">
            <v>-0.19515127251393805</v>
          </cell>
          <cell r="AH77">
            <v>-0.23706092915291765</v>
          </cell>
          <cell r="AI77">
            <v>-0.26066327368536724</v>
          </cell>
        </row>
        <row r="78">
          <cell r="A78">
            <v>43555</v>
          </cell>
          <cell r="B78">
            <v>332</v>
          </cell>
          <cell r="C78">
            <v>-3543.24</v>
          </cell>
          <cell r="D78">
            <v>-4.1413765060240963E-2</v>
          </cell>
          <cell r="E78">
            <v>133391</v>
          </cell>
          <cell r="F78">
            <v>0.40178012048192774</v>
          </cell>
          <cell r="G78">
            <v>3174.79</v>
          </cell>
          <cell r="H78">
            <v>487485.84113112238</v>
          </cell>
          <cell r="I78">
            <v>0.46249699878747541</v>
          </cell>
          <cell r="J78">
            <v>-2821.9950268157172</v>
          </cell>
          <cell r="K78">
            <v>-2.4950707903592998E-2</v>
          </cell>
          <cell r="L78">
            <v>19925</v>
          </cell>
          <cell r="M78">
            <v>4819.1278727402769</v>
          </cell>
          <cell r="N78">
            <v>2.4579267732743156E-2</v>
          </cell>
          <cell r="O78">
            <v>38329778.596853003</v>
          </cell>
          <cell r="P78">
            <v>0.14011540954908144</v>
          </cell>
          <cell r="Q78">
            <v>51267.29</v>
          </cell>
          <cell r="R78">
            <v>0.15441954819277109</v>
          </cell>
          <cell r="S78">
            <v>-161353.46</v>
          </cell>
          <cell r="T78">
            <v>-0.4860043975903614</v>
          </cell>
          <cell r="U78">
            <v>99.48</v>
          </cell>
          <cell r="V78">
            <v>372.77</v>
          </cell>
          <cell r="W78">
            <v>-0.90869616195449876</v>
          </cell>
          <cell r="X78">
            <v>-1.1583410393052995</v>
          </cell>
          <cell r="Y78">
            <v>1.5542272869720033</v>
          </cell>
          <cell r="Z78">
            <v>-1.8856457695086928</v>
          </cell>
          <cell r="AA78">
            <v>-1.5435935666635441</v>
          </cell>
          <cell r="AB78">
            <v>0.56189340852883707</v>
          </cell>
          <cell r="AC78">
            <v>0.53106467838494231</v>
          </cell>
          <cell r="AD78">
            <v>0.34032631851261114</v>
          </cell>
          <cell r="AE78">
            <v>-0.31359560562920519</v>
          </cell>
          <cell r="AF78">
            <v>0.5423176169676307</v>
          </cell>
          <cell r="AG78">
            <v>0.17052016404745227</v>
          </cell>
          <cell r="AH78">
            <v>0.3564188905075415</v>
          </cell>
          <cell r="AI78">
            <v>2.1411642439168155E-2</v>
          </cell>
        </row>
        <row r="79">
          <cell r="A79">
            <v>43646</v>
          </cell>
          <cell r="B79">
            <v>327.49</v>
          </cell>
          <cell r="C79">
            <v>-2778.23</v>
          </cell>
          <cell r="D79">
            <v>-4.0503984854499374E-2</v>
          </cell>
          <cell r="E79">
            <v>134967</v>
          </cell>
          <cell r="F79">
            <v>0.4121255610858347</v>
          </cell>
          <cell r="G79">
            <v>3205.67</v>
          </cell>
          <cell r="H79">
            <v>495940.76521278289</v>
          </cell>
          <cell r="I79">
            <v>0.47240333143933666</v>
          </cell>
          <cell r="J79">
            <v>3391.8771329102965</v>
          </cell>
          <cell r="K79">
            <v>-1.7096403950937013E-2</v>
          </cell>
          <cell r="L79">
            <v>20264</v>
          </cell>
          <cell r="M79">
            <v>7094.0701292867461</v>
          </cell>
          <cell r="N79">
            <v>2.5883825271552502E-2</v>
          </cell>
          <cell r="O79">
            <v>43332181.838674001</v>
          </cell>
          <cell r="P79">
            <v>0.14451502891494894</v>
          </cell>
          <cell r="Q79">
            <v>52449.27</v>
          </cell>
          <cell r="R79">
            <v>0.16015533298726678</v>
          </cell>
          <cell r="S79">
            <v>-163836.35999999999</v>
          </cell>
          <cell r="T79">
            <v>-0.5002789703502396</v>
          </cell>
          <cell r="U79">
            <v>99.18</v>
          </cell>
          <cell r="V79">
            <v>365.83</v>
          </cell>
          <cell r="W79">
            <v>-0.85136600974506449</v>
          </cell>
          <cell r="X79">
            <v>-1.2830366221658116</v>
          </cell>
          <cell r="Y79">
            <v>1.7971000317877122</v>
          </cell>
          <cell r="Z79">
            <v>-2.0358232425606393</v>
          </cell>
          <cell r="AA79">
            <v>-1.7376777321054626</v>
          </cell>
          <cell r="AB79">
            <v>1.312933264853092</v>
          </cell>
          <cell r="AC79">
            <v>0.33913032218550737</v>
          </cell>
          <cell r="AD79">
            <v>0.52912068604026852</v>
          </cell>
          <cell r="AE79">
            <v>-0.24120241271379972</v>
          </cell>
          <cell r="AF79">
            <v>0.88934080123221981</v>
          </cell>
          <cell r="AG79">
            <v>0.21155767649467164</v>
          </cell>
          <cell r="AH79">
            <v>0.55044923886344577</v>
          </cell>
          <cell r="AI79">
            <v>0.15462341307482302</v>
          </cell>
        </row>
        <row r="80">
          <cell r="A80">
            <v>43738</v>
          </cell>
          <cell r="B80">
            <v>323.64999999999998</v>
          </cell>
          <cell r="C80">
            <v>-3955.94</v>
          </cell>
          <cell r="D80">
            <v>-4.3311014985323651E-2</v>
          </cell>
          <cell r="E80">
            <v>136163</v>
          </cell>
          <cell r="F80">
            <v>0.42071064421442916</v>
          </cell>
          <cell r="G80">
            <v>3462.01</v>
          </cell>
          <cell r="H80">
            <v>510790.84034250712</v>
          </cell>
          <cell r="I80">
            <v>0.4558680669332395</v>
          </cell>
          <cell r="J80">
            <v>-6328.7149496027869</v>
          </cell>
          <cell r="K80">
            <v>-1.0594580269850728E-2</v>
          </cell>
          <cell r="L80">
            <v>20582</v>
          </cell>
          <cell r="M80">
            <v>11768.678614979415</v>
          </cell>
          <cell r="N80">
            <v>2.395353494755692E-2</v>
          </cell>
          <cell r="O80">
            <v>41399510.559181005</v>
          </cell>
          <cell r="P80">
            <v>0.1399608833973453</v>
          </cell>
          <cell r="Q80">
            <v>52874.55</v>
          </cell>
          <cell r="R80">
            <v>0.1633695349915032</v>
          </cell>
          <cell r="S80">
            <v>-163234.87</v>
          </cell>
          <cell r="T80">
            <v>-0.50435615634172726</v>
          </cell>
          <cell r="U80">
            <v>99.27</v>
          </cell>
          <cell r="V80">
            <v>337.51</v>
          </cell>
          <cell r="W80">
            <v>-1.0282521011779366</v>
          </cell>
          <cell r="X80">
            <v>-1.3865142782283049</v>
          </cell>
          <cell r="Y80">
            <v>1.9332003373483724</v>
          </cell>
          <cell r="Z80">
            <v>-2.0787178005739917</v>
          </cell>
          <cell r="AA80">
            <v>-1.4137200047799747</v>
          </cell>
          <cell r="AB80">
            <v>1.9346470096639763</v>
          </cell>
          <cell r="AC80">
            <v>0.62312625152736811</v>
          </cell>
          <cell r="AD80">
            <v>0.33369536600116473</v>
          </cell>
          <cell r="AE80">
            <v>-0.13531690252741585</v>
          </cell>
          <cell r="AF80">
            <v>0.7852338459528545</v>
          </cell>
          <cell r="AG80">
            <v>0.37901911057323834</v>
          </cell>
          <cell r="AH80">
            <v>0.58212647826304642</v>
          </cell>
          <cell r="AI80">
            <v>0.22340478786781529</v>
          </cell>
        </row>
        <row r="81">
          <cell r="A81">
            <v>43830</v>
          </cell>
          <cell r="B81">
            <v>324.02999999999997</v>
          </cell>
          <cell r="C81">
            <v>-3523</v>
          </cell>
          <cell r="D81">
            <v>-4.2589914514088202E-2</v>
          </cell>
          <cell r="E81">
            <v>138175</v>
          </cell>
          <cell r="F81">
            <v>0.42642656544147145</v>
          </cell>
          <cell r="G81">
            <v>3277.14</v>
          </cell>
          <cell r="H81">
            <v>500806.4507696096</v>
          </cell>
          <cell r="I81">
            <v>0.47161726844398089</v>
          </cell>
          <cell r="J81">
            <v>0</v>
          </cell>
          <cell r="K81">
            <v>-5.4231829700018648E-3</v>
          </cell>
          <cell r="L81">
            <v>20795</v>
          </cell>
          <cell r="M81">
            <v>0</v>
          </cell>
          <cell r="N81">
            <v>2.23015936487568E-2</v>
          </cell>
          <cell r="O81">
            <v>34305390.271455996</v>
          </cell>
          <cell r="P81">
            <v>0.14819483483069956</v>
          </cell>
          <cell r="Q81">
            <v>53174.23</v>
          </cell>
          <cell r="R81">
            <v>0.16410279912353795</v>
          </cell>
          <cell r="S81">
            <v>-163234.87</v>
          </cell>
          <cell r="T81">
            <v>-0.50376468228250471</v>
          </cell>
          <cell r="U81">
            <v>98.79</v>
          </cell>
          <cell r="V81">
            <v>277.39</v>
          </cell>
          <cell r="W81">
            <v>-0.98281167555279902</v>
          </cell>
          <cell r="X81">
            <v>-1.4554093747524337</v>
          </cell>
          <cell r="Y81">
            <v>1.9642492484918121</v>
          </cell>
          <cell r="Z81">
            <v>-2.0724951218932337</v>
          </cell>
          <cell r="AA81">
            <v>-1.7222772417524828</v>
          </cell>
          <cell r="AB81">
            <v>2.4291434677187671</v>
          </cell>
          <cell r="AC81">
            <v>0.86616979712202258</v>
          </cell>
          <cell r="AD81">
            <v>0.68702676216094405</v>
          </cell>
          <cell r="AE81">
            <v>-3.58005173071754E-2</v>
          </cell>
          <cell r="AF81">
            <v>1.3404709407761906</v>
          </cell>
          <cell r="AG81">
            <v>0.73451986681629744</v>
          </cell>
          <cell r="AH81">
            <v>1.0374954037962441</v>
          </cell>
          <cell r="AI81">
            <v>0.50084744324453434</v>
          </cell>
        </row>
        <row r="82">
          <cell r="A82">
            <v>43910</v>
          </cell>
          <cell r="B82">
            <v>267.46396543912499</v>
          </cell>
          <cell r="C82">
            <v>-4500</v>
          </cell>
          <cell r="D82">
            <v>-4.4999999999999998E-2</v>
          </cell>
          <cell r="E82">
            <v>138175</v>
          </cell>
          <cell r="F82">
            <v>0.5</v>
          </cell>
          <cell r="G82">
            <v>4000</v>
          </cell>
          <cell r="H82">
            <v>561262.87650220934</v>
          </cell>
          <cell r="I82">
            <v>0.5</v>
          </cell>
          <cell r="J82"/>
          <cell r="K82">
            <v>-1.4999999999999999E-2</v>
          </cell>
          <cell r="L82"/>
          <cell r="M82"/>
          <cell r="N82">
            <v>2.5000000000000001E-2</v>
          </cell>
          <cell r="O82"/>
          <cell r="P82">
            <v>0.14000000000000001</v>
          </cell>
          <cell r="Q82">
            <v>53174.23</v>
          </cell>
          <cell r="R82">
            <v>0.19880894950726549</v>
          </cell>
          <cell r="S82"/>
          <cell r="T82">
            <v>-0.50376468228250471</v>
          </cell>
          <cell r="U82">
            <v>101.16</v>
          </cell>
          <cell r="V82">
            <v>630.03</v>
          </cell>
          <cell r="W82">
            <v>-1.1346841463683677</v>
          </cell>
          <cell r="X82">
            <v>-2.3422041142496375</v>
          </cell>
          <cell r="Y82">
            <v>3.4338263521815628</v>
          </cell>
          <cell r="Z82">
            <v>-2.0724951218932337</v>
          </cell>
          <cell r="AA82">
            <v>-2.2783497017235281</v>
          </cell>
          <cell r="AB82">
            <v>1.5133944300435369</v>
          </cell>
          <cell r="AC82">
            <v>0.46916401517466072</v>
          </cell>
          <cell r="AD82">
            <v>0.33537391899493502</v>
          </cell>
          <cell r="AE82">
            <v>-0.25949679598000897</v>
          </cell>
          <cell r="AF82">
            <v>-1.4010122149140778</v>
          </cell>
          <cell r="AG82">
            <v>-1.3507061258908275</v>
          </cell>
          <cell r="AH82">
            <v>-1.3758591704024528</v>
          </cell>
          <cell r="AI82">
            <v>-0.81767798319123086</v>
          </cell>
        </row>
        <row r="83">
          <cell r="A83">
            <v>44012</v>
          </cell>
          <cell r="B83">
            <v>267.46396543912499</v>
          </cell>
          <cell r="C83">
            <v>-5000</v>
          </cell>
          <cell r="D83">
            <v>-0.05</v>
          </cell>
          <cell r="E83">
            <v>138175</v>
          </cell>
          <cell r="F83">
            <v>0.51500000000000001</v>
          </cell>
          <cell r="G83">
            <v>4000</v>
          </cell>
          <cell r="H83">
            <v>561262.87650220934</v>
          </cell>
          <cell r="I83">
            <v>0.52500000000000002</v>
          </cell>
          <cell r="J83"/>
          <cell r="K83">
            <v>-0.02</v>
          </cell>
          <cell r="L83"/>
          <cell r="M83"/>
          <cell r="N83">
            <v>2.5000000000000001E-2</v>
          </cell>
          <cell r="O83"/>
          <cell r="P83">
            <v>0.13500000000000001</v>
          </cell>
          <cell r="Q83"/>
          <cell r="R83">
            <v>0.19880894950726549</v>
          </cell>
          <cell r="S83"/>
          <cell r="T83">
            <v>-0.50376468228250471</v>
          </cell>
          <cell r="U83">
            <v>100</v>
          </cell>
          <cell r="V83">
            <v>480</v>
          </cell>
          <cell r="W83">
            <v>-1.4497610838947383</v>
          </cell>
          <cell r="X83">
            <v>-2.5230019956082446</v>
          </cell>
          <cell r="Y83">
            <v>3.4338263521815628</v>
          </cell>
          <cell r="Z83">
            <v>-2.0724951218932337</v>
          </cell>
          <cell r="AA83">
            <v>-2.7681479254018266</v>
          </cell>
          <cell r="AB83">
            <v>1.0352872286598382</v>
          </cell>
          <cell r="AC83">
            <v>0.46916401517466072</v>
          </cell>
          <cell r="AD83">
            <v>0.12081630408813729</v>
          </cell>
          <cell r="AE83">
            <v>-0.46928902833673058</v>
          </cell>
          <cell r="AF83">
            <v>-5.9189235757658061E-2</v>
          </cell>
          <cell r="AG83">
            <v>-0.46355079556570861</v>
          </cell>
          <cell r="AH83">
            <v>-0.26137001566168333</v>
          </cell>
          <cell r="AI83">
            <v>-0.36532952199920699</v>
          </cell>
        </row>
        <row r="86">
          <cell r="F86"/>
          <cell r="H86"/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8FDFB-BFA3-4AEA-89D5-71B03A7DE3D6}">
  <sheetPr codeName="Sheet1"/>
  <dimension ref="A1:H6"/>
  <sheetViews>
    <sheetView tabSelected="1" zoomScale="80" zoomScaleNormal="80" workbookViewId="0">
      <selection activeCell="D6" sqref="D6"/>
    </sheetView>
  </sheetViews>
  <sheetFormatPr baseColWidth="10" defaultColWidth="9.140625" defaultRowHeight="15" x14ac:dyDescent="0.25"/>
  <cols>
    <col min="1" max="1" width="9.5703125" style="1" customWidth="1"/>
    <col min="2" max="2" width="27.85546875" style="1" bestFit="1" customWidth="1"/>
    <col min="3" max="3" width="13" style="1" bestFit="1" customWidth="1"/>
    <col min="4" max="4" width="14.5703125" style="1" bestFit="1" customWidth="1"/>
    <col min="5" max="5" width="11.42578125" style="1" bestFit="1" customWidth="1"/>
    <col min="6" max="16384" width="9.140625" style="1"/>
  </cols>
  <sheetData>
    <row r="1" spans="1:8" ht="15.75" thickBot="1" x14ac:dyDescent="0.3">
      <c r="A1" s="4"/>
      <c r="B1" s="5">
        <f ca="1">TODAY()</f>
        <v>43986</v>
      </c>
      <c r="C1" s="6" t="s">
        <v>0</v>
      </c>
      <c r="D1" s="108" t="s">
        <v>1</v>
      </c>
      <c r="E1" s="108" t="s">
        <v>2</v>
      </c>
    </row>
    <row r="2" spans="1:8" x14ac:dyDescent="0.25">
      <c r="A2" s="7" t="s">
        <v>3</v>
      </c>
      <c r="B2" s="8">
        <f ca="1">WORKDAY($B$1,1)</f>
        <v>43987</v>
      </c>
      <c r="C2" s="104">
        <f ca="1">+(B2-$B$1)/360</f>
        <v>2.7777777777777779E-3</v>
      </c>
      <c r="D2" s="109"/>
      <c r="E2" s="9">
        <v>2E-3</v>
      </c>
      <c r="H2" s="18"/>
    </row>
    <row r="3" spans="1:8" x14ac:dyDescent="0.25">
      <c r="A3" s="7" t="s">
        <v>4</v>
      </c>
      <c r="B3" s="11">
        <f ca="1">EDATE(B1,12)</f>
        <v>44351</v>
      </c>
      <c r="C3" s="105">
        <f t="shared" ref="C3:C6" ca="1" si="0">+(B3-$B$1)/360</f>
        <v>1.0138888888888888</v>
      </c>
      <c r="D3" s="110">
        <v>8.0000000000000002E-3</v>
      </c>
      <c r="E3" s="12">
        <v>1.0399999999999999E-3</v>
      </c>
      <c r="H3" s="18"/>
    </row>
    <row r="4" spans="1:8" x14ac:dyDescent="0.25">
      <c r="A4" s="14" t="s">
        <v>5</v>
      </c>
      <c r="B4" s="15">
        <f ca="1">EDATE(B3,12)</f>
        <v>44716</v>
      </c>
      <c r="C4" s="106">
        <f t="shared" ca="1" si="0"/>
        <v>2.0277777777777777</v>
      </c>
      <c r="D4" s="110">
        <v>0.01</v>
      </c>
      <c r="E4" s="12">
        <v>1.31E-3</v>
      </c>
      <c r="H4" s="18"/>
    </row>
    <row r="5" spans="1:8" x14ac:dyDescent="0.25">
      <c r="A5" s="14" t="s">
        <v>6</v>
      </c>
      <c r="B5" s="15">
        <f ca="1">EDATE(B4,12)</f>
        <v>45081</v>
      </c>
      <c r="C5" s="106">
        <f t="shared" ca="1" si="0"/>
        <v>3.0416666666666665</v>
      </c>
      <c r="D5" s="110">
        <v>1.2500000000000001E-2</v>
      </c>
      <c r="E5" s="12">
        <v>1.81E-3</v>
      </c>
      <c r="H5" s="18"/>
    </row>
    <row r="6" spans="1:8" ht="15.75" thickBot="1" x14ac:dyDescent="0.3">
      <c r="A6" s="14" t="s">
        <v>7</v>
      </c>
      <c r="B6" s="16">
        <f ca="1">EDATE(B5,24)</f>
        <v>45812</v>
      </c>
      <c r="C6" s="107">
        <f t="shared" ca="1" si="0"/>
        <v>5.072222222222222</v>
      </c>
      <c r="D6" s="111">
        <v>1.46E-2</v>
      </c>
      <c r="E6" s="17">
        <v>2.8499999999999997E-3</v>
      </c>
      <c r="H6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C2A3-7AA4-4E49-89BE-E3F4200BA4D9}">
  <sheetPr codeName="Sheet2"/>
  <dimension ref="A1:BE68"/>
  <sheetViews>
    <sheetView zoomScale="80" zoomScaleNormal="80" workbookViewId="0">
      <selection activeCell="H28" sqref="H28"/>
    </sheetView>
  </sheetViews>
  <sheetFormatPr baseColWidth="10" defaultColWidth="9.140625" defaultRowHeight="12.75" x14ac:dyDescent="0.2"/>
  <cols>
    <col min="1" max="1" width="5.5703125" style="22" customWidth="1"/>
    <col min="2" max="2" width="11" style="22" bestFit="1" customWidth="1"/>
    <col min="3" max="3" width="14.140625" style="22" bestFit="1" customWidth="1"/>
    <col min="4" max="4" width="15.7109375" style="22" bestFit="1" customWidth="1"/>
    <col min="5" max="5" width="10.85546875" style="22" bestFit="1" customWidth="1"/>
    <col min="6" max="6" width="7.7109375" style="22" bestFit="1" customWidth="1"/>
    <col min="7" max="7" width="13.28515625" style="22" bestFit="1" customWidth="1"/>
    <col min="8" max="8" width="17.28515625" style="22" bestFit="1" customWidth="1"/>
    <col min="9" max="11" width="8.85546875" style="22" bestFit="1" customWidth="1"/>
    <col min="12" max="13" width="8.7109375" style="22" bestFit="1" customWidth="1"/>
    <col min="14" max="14" width="16.140625" style="22" bestFit="1" customWidth="1"/>
    <col min="15" max="255" width="9.140625" style="22"/>
    <col min="256" max="256" width="5.85546875" style="22" bestFit="1" customWidth="1"/>
    <col min="257" max="257" width="11" style="22" bestFit="1" customWidth="1"/>
    <col min="258" max="258" width="14.140625" style="22" bestFit="1" customWidth="1"/>
    <col min="259" max="259" width="15.7109375" style="22" bestFit="1" customWidth="1"/>
    <col min="260" max="260" width="10.85546875" style="22" bestFit="1" customWidth="1"/>
    <col min="261" max="261" width="7.7109375" style="22" bestFit="1" customWidth="1"/>
    <col min="262" max="262" width="13.28515625" style="22" bestFit="1" customWidth="1"/>
    <col min="263" max="263" width="17.28515625" style="22" bestFit="1" customWidth="1"/>
    <col min="264" max="266" width="8.85546875" style="22" bestFit="1" customWidth="1"/>
    <col min="267" max="269" width="8.7109375" style="22" bestFit="1" customWidth="1"/>
    <col min="270" max="270" width="16.140625" style="22" bestFit="1" customWidth="1"/>
    <col min="271" max="511" width="9.140625" style="22"/>
    <col min="512" max="512" width="5.85546875" style="22" bestFit="1" customWidth="1"/>
    <col min="513" max="513" width="11" style="22" bestFit="1" customWidth="1"/>
    <col min="514" max="514" width="14.140625" style="22" bestFit="1" customWidth="1"/>
    <col min="515" max="515" width="15.7109375" style="22" bestFit="1" customWidth="1"/>
    <col min="516" max="516" width="10.85546875" style="22" bestFit="1" customWidth="1"/>
    <col min="517" max="517" width="7.7109375" style="22" bestFit="1" customWidth="1"/>
    <col min="518" max="518" width="13.28515625" style="22" bestFit="1" customWidth="1"/>
    <col min="519" max="519" width="17.28515625" style="22" bestFit="1" customWidth="1"/>
    <col min="520" max="522" width="8.85546875" style="22" bestFit="1" customWidth="1"/>
    <col min="523" max="525" width="8.7109375" style="22" bestFit="1" customWidth="1"/>
    <col min="526" max="526" width="16.140625" style="22" bestFit="1" customWidth="1"/>
    <col min="527" max="767" width="9.140625" style="22"/>
    <col min="768" max="768" width="5.85546875" style="22" bestFit="1" customWidth="1"/>
    <col min="769" max="769" width="11" style="22" bestFit="1" customWidth="1"/>
    <col min="770" max="770" width="14.140625" style="22" bestFit="1" customWidth="1"/>
    <col min="771" max="771" width="15.7109375" style="22" bestFit="1" customWidth="1"/>
    <col min="772" max="772" width="10.85546875" style="22" bestFit="1" customWidth="1"/>
    <col min="773" max="773" width="7.7109375" style="22" bestFit="1" customWidth="1"/>
    <col min="774" max="774" width="13.28515625" style="22" bestFit="1" customWidth="1"/>
    <col min="775" max="775" width="17.28515625" style="22" bestFit="1" customWidth="1"/>
    <col min="776" max="778" width="8.85546875" style="22" bestFit="1" customWidth="1"/>
    <col min="779" max="781" width="8.7109375" style="22" bestFit="1" customWidth="1"/>
    <col min="782" max="782" width="16.140625" style="22" bestFit="1" customWidth="1"/>
    <col min="783" max="1023" width="9.140625" style="22"/>
    <col min="1024" max="1024" width="5.85546875" style="22" bestFit="1" customWidth="1"/>
    <col min="1025" max="1025" width="11" style="22" bestFit="1" customWidth="1"/>
    <col min="1026" max="1026" width="14.140625" style="22" bestFit="1" customWidth="1"/>
    <col min="1027" max="1027" width="15.7109375" style="22" bestFit="1" customWidth="1"/>
    <col min="1028" max="1028" width="10.85546875" style="22" bestFit="1" customWidth="1"/>
    <col min="1029" max="1029" width="7.7109375" style="22" bestFit="1" customWidth="1"/>
    <col min="1030" max="1030" width="13.28515625" style="22" bestFit="1" customWidth="1"/>
    <col min="1031" max="1031" width="17.28515625" style="22" bestFit="1" customWidth="1"/>
    <col min="1032" max="1034" width="8.85546875" style="22" bestFit="1" customWidth="1"/>
    <col min="1035" max="1037" width="8.7109375" style="22" bestFit="1" customWidth="1"/>
    <col min="1038" max="1038" width="16.140625" style="22" bestFit="1" customWidth="1"/>
    <col min="1039" max="1279" width="9.140625" style="22"/>
    <col min="1280" max="1280" width="5.85546875" style="22" bestFit="1" customWidth="1"/>
    <col min="1281" max="1281" width="11" style="22" bestFit="1" customWidth="1"/>
    <col min="1282" max="1282" width="14.140625" style="22" bestFit="1" customWidth="1"/>
    <col min="1283" max="1283" width="15.7109375" style="22" bestFit="1" customWidth="1"/>
    <col min="1284" max="1284" width="10.85546875" style="22" bestFit="1" customWidth="1"/>
    <col min="1285" max="1285" width="7.7109375" style="22" bestFit="1" customWidth="1"/>
    <col min="1286" max="1286" width="13.28515625" style="22" bestFit="1" customWidth="1"/>
    <col min="1287" max="1287" width="17.28515625" style="22" bestFit="1" customWidth="1"/>
    <col min="1288" max="1290" width="8.85546875" style="22" bestFit="1" customWidth="1"/>
    <col min="1291" max="1293" width="8.7109375" style="22" bestFit="1" customWidth="1"/>
    <col min="1294" max="1294" width="16.140625" style="22" bestFit="1" customWidth="1"/>
    <col min="1295" max="1535" width="9.140625" style="22"/>
    <col min="1536" max="1536" width="5.85546875" style="22" bestFit="1" customWidth="1"/>
    <col min="1537" max="1537" width="11" style="22" bestFit="1" customWidth="1"/>
    <col min="1538" max="1538" width="14.140625" style="22" bestFit="1" customWidth="1"/>
    <col min="1539" max="1539" width="15.7109375" style="22" bestFit="1" customWidth="1"/>
    <col min="1540" max="1540" width="10.85546875" style="22" bestFit="1" customWidth="1"/>
    <col min="1541" max="1541" width="7.7109375" style="22" bestFit="1" customWidth="1"/>
    <col min="1542" max="1542" width="13.28515625" style="22" bestFit="1" customWidth="1"/>
    <col min="1543" max="1543" width="17.28515625" style="22" bestFit="1" customWidth="1"/>
    <col min="1544" max="1546" width="8.85546875" style="22" bestFit="1" customWidth="1"/>
    <col min="1547" max="1549" width="8.7109375" style="22" bestFit="1" customWidth="1"/>
    <col min="1550" max="1550" width="16.140625" style="22" bestFit="1" customWidth="1"/>
    <col min="1551" max="1791" width="9.140625" style="22"/>
    <col min="1792" max="1792" width="5.85546875" style="22" bestFit="1" customWidth="1"/>
    <col min="1793" max="1793" width="11" style="22" bestFit="1" customWidth="1"/>
    <col min="1794" max="1794" width="14.140625" style="22" bestFit="1" customWidth="1"/>
    <col min="1795" max="1795" width="15.7109375" style="22" bestFit="1" customWidth="1"/>
    <col min="1796" max="1796" width="10.85546875" style="22" bestFit="1" customWidth="1"/>
    <col min="1797" max="1797" width="7.7109375" style="22" bestFit="1" customWidth="1"/>
    <col min="1798" max="1798" width="13.28515625" style="22" bestFit="1" customWidth="1"/>
    <col min="1799" max="1799" width="17.28515625" style="22" bestFit="1" customWidth="1"/>
    <col min="1800" max="1802" width="8.85546875" style="22" bestFit="1" customWidth="1"/>
    <col min="1803" max="1805" width="8.7109375" style="22" bestFit="1" customWidth="1"/>
    <col min="1806" max="1806" width="16.140625" style="22" bestFit="1" customWidth="1"/>
    <col min="1807" max="2047" width="9.140625" style="22"/>
    <col min="2048" max="2048" width="5.85546875" style="22" bestFit="1" customWidth="1"/>
    <col min="2049" max="2049" width="11" style="22" bestFit="1" customWidth="1"/>
    <col min="2050" max="2050" width="14.140625" style="22" bestFit="1" customWidth="1"/>
    <col min="2051" max="2051" width="15.7109375" style="22" bestFit="1" customWidth="1"/>
    <col min="2052" max="2052" width="10.85546875" style="22" bestFit="1" customWidth="1"/>
    <col min="2053" max="2053" width="7.7109375" style="22" bestFit="1" customWidth="1"/>
    <col min="2054" max="2054" width="13.28515625" style="22" bestFit="1" customWidth="1"/>
    <col min="2055" max="2055" width="17.28515625" style="22" bestFit="1" customWidth="1"/>
    <col min="2056" max="2058" width="8.85546875" style="22" bestFit="1" customWidth="1"/>
    <col min="2059" max="2061" width="8.7109375" style="22" bestFit="1" customWidth="1"/>
    <col min="2062" max="2062" width="16.140625" style="22" bestFit="1" customWidth="1"/>
    <col min="2063" max="2303" width="9.140625" style="22"/>
    <col min="2304" max="2304" width="5.85546875" style="22" bestFit="1" customWidth="1"/>
    <col min="2305" max="2305" width="11" style="22" bestFit="1" customWidth="1"/>
    <col min="2306" max="2306" width="14.140625" style="22" bestFit="1" customWidth="1"/>
    <col min="2307" max="2307" width="15.7109375" style="22" bestFit="1" customWidth="1"/>
    <col min="2308" max="2308" width="10.85546875" style="22" bestFit="1" customWidth="1"/>
    <col min="2309" max="2309" width="7.7109375" style="22" bestFit="1" customWidth="1"/>
    <col min="2310" max="2310" width="13.28515625" style="22" bestFit="1" customWidth="1"/>
    <col min="2311" max="2311" width="17.28515625" style="22" bestFit="1" customWidth="1"/>
    <col min="2312" max="2314" width="8.85546875" style="22" bestFit="1" customWidth="1"/>
    <col min="2315" max="2317" width="8.7109375" style="22" bestFit="1" customWidth="1"/>
    <col min="2318" max="2318" width="16.140625" style="22" bestFit="1" customWidth="1"/>
    <col min="2319" max="2559" width="9.140625" style="22"/>
    <col min="2560" max="2560" width="5.85546875" style="22" bestFit="1" customWidth="1"/>
    <col min="2561" max="2561" width="11" style="22" bestFit="1" customWidth="1"/>
    <col min="2562" max="2562" width="14.140625" style="22" bestFit="1" customWidth="1"/>
    <col min="2563" max="2563" width="15.7109375" style="22" bestFit="1" customWidth="1"/>
    <col min="2564" max="2564" width="10.85546875" style="22" bestFit="1" customWidth="1"/>
    <col min="2565" max="2565" width="7.7109375" style="22" bestFit="1" customWidth="1"/>
    <col min="2566" max="2566" width="13.28515625" style="22" bestFit="1" customWidth="1"/>
    <col min="2567" max="2567" width="17.28515625" style="22" bestFit="1" customWidth="1"/>
    <col min="2568" max="2570" width="8.85546875" style="22" bestFit="1" customWidth="1"/>
    <col min="2571" max="2573" width="8.7109375" style="22" bestFit="1" customWidth="1"/>
    <col min="2574" max="2574" width="16.140625" style="22" bestFit="1" customWidth="1"/>
    <col min="2575" max="2815" width="9.140625" style="22"/>
    <col min="2816" max="2816" width="5.85546875" style="22" bestFit="1" customWidth="1"/>
    <col min="2817" max="2817" width="11" style="22" bestFit="1" customWidth="1"/>
    <col min="2818" max="2818" width="14.140625" style="22" bestFit="1" customWidth="1"/>
    <col min="2819" max="2819" width="15.7109375" style="22" bestFit="1" customWidth="1"/>
    <col min="2820" max="2820" width="10.85546875" style="22" bestFit="1" customWidth="1"/>
    <col min="2821" max="2821" width="7.7109375" style="22" bestFit="1" customWidth="1"/>
    <col min="2822" max="2822" width="13.28515625" style="22" bestFit="1" customWidth="1"/>
    <col min="2823" max="2823" width="17.28515625" style="22" bestFit="1" customWidth="1"/>
    <col min="2824" max="2826" width="8.85546875" style="22" bestFit="1" customWidth="1"/>
    <col min="2827" max="2829" width="8.7109375" style="22" bestFit="1" customWidth="1"/>
    <col min="2830" max="2830" width="16.140625" style="22" bestFit="1" customWidth="1"/>
    <col min="2831" max="3071" width="9.140625" style="22"/>
    <col min="3072" max="3072" width="5.85546875" style="22" bestFit="1" customWidth="1"/>
    <col min="3073" max="3073" width="11" style="22" bestFit="1" customWidth="1"/>
    <col min="3074" max="3074" width="14.140625" style="22" bestFit="1" customWidth="1"/>
    <col min="3075" max="3075" width="15.7109375" style="22" bestFit="1" customWidth="1"/>
    <col min="3076" max="3076" width="10.85546875" style="22" bestFit="1" customWidth="1"/>
    <col min="3077" max="3077" width="7.7109375" style="22" bestFit="1" customWidth="1"/>
    <col min="3078" max="3078" width="13.28515625" style="22" bestFit="1" customWidth="1"/>
    <col min="3079" max="3079" width="17.28515625" style="22" bestFit="1" customWidth="1"/>
    <col min="3080" max="3082" width="8.85546875" style="22" bestFit="1" customWidth="1"/>
    <col min="3083" max="3085" width="8.7109375" style="22" bestFit="1" customWidth="1"/>
    <col min="3086" max="3086" width="16.140625" style="22" bestFit="1" customWidth="1"/>
    <col min="3087" max="3327" width="9.140625" style="22"/>
    <col min="3328" max="3328" width="5.85546875" style="22" bestFit="1" customWidth="1"/>
    <col min="3329" max="3329" width="11" style="22" bestFit="1" customWidth="1"/>
    <col min="3330" max="3330" width="14.140625" style="22" bestFit="1" customWidth="1"/>
    <col min="3331" max="3331" width="15.7109375" style="22" bestFit="1" customWidth="1"/>
    <col min="3332" max="3332" width="10.85546875" style="22" bestFit="1" customWidth="1"/>
    <col min="3333" max="3333" width="7.7109375" style="22" bestFit="1" customWidth="1"/>
    <col min="3334" max="3334" width="13.28515625" style="22" bestFit="1" customWidth="1"/>
    <col min="3335" max="3335" width="17.28515625" style="22" bestFit="1" customWidth="1"/>
    <col min="3336" max="3338" width="8.85546875" style="22" bestFit="1" customWidth="1"/>
    <col min="3339" max="3341" width="8.7109375" style="22" bestFit="1" customWidth="1"/>
    <col min="3342" max="3342" width="16.140625" style="22" bestFit="1" customWidth="1"/>
    <col min="3343" max="3583" width="9.140625" style="22"/>
    <col min="3584" max="3584" width="5.85546875" style="22" bestFit="1" customWidth="1"/>
    <col min="3585" max="3585" width="11" style="22" bestFit="1" customWidth="1"/>
    <col min="3586" max="3586" width="14.140625" style="22" bestFit="1" customWidth="1"/>
    <col min="3587" max="3587" width="15.7109375" style="22" bestFit="1" customWidth="1"/>
    <col min="3588" max="3588" width="10.85546875" style="22" bestFit="1" customWidth="1"/>
    <col min="3589" max="3589" width="7.7109375" style="22" bestFit="1" customWidth="1"/>
    <col min="3590" max="3590" width="13.28515625" style="22" bestFit="1" customWidth="1"/>
    <col min="3591" max="3591" width="17.28515625" style="22" bestFit="1" customWidth="1"/>
    <col min="3592" max="3594" width="8.85546875" style="22" bestFit="1" customWidth="1"/>
    <col min="3595" max="3597" width="8.7109375" style="22" bestFit="1" customWidth="1"/>
    <col min="3598" max="3598" width="16.140625" style="22" bestFit="1" customWidth="1"/>
    <col min="3599" max="3839" width="9.140625" style="22"/>
    <col min="3840" max="3840" width="5.85546875" style="22" bestFit="1" customWidth="1"/>
    <col min="3841" max="3841" width="11" style="22" bestFit="1" customWidth="1"/>
    <col min="3842" max="3842" width="14.140625" style="22" bestFit="1" customWidth="1"/>
    <col min="3843" max="3843" width="15.7109375" style="22" bestFit="1" customWidth="1"/>
    <col min="3844" max="3844" width="10.85546875" style="22" bestFit="1" customWidth="1"/>
    <col min="3845" max="3845" width="7.7109375" style="22" bestFit="1" customWidth="1"/>
    <col min="3846" max="3846" width="13.28515625" style="22" bestFit="1" customWidth="1"/>
    <col min="3847" max="3847" width="17.28515625" style="22" bestFit="1" customWidth="1"/>
    <col min="3848" max="3850" width="8.85546875" style="22" bestFit="1" customWidth="1"/>
    <col min="3851" max="3853" width="8.7109375" style="22" bestFit="1" customWidth="1"/>
    <col min="3854" max="3854" width="16.140625" style="22" bestFit="1" customWidth="1"/>
    <col min="3855" max="4095" width="9.140625" style="22"/>
    <col min="4096" max="4096" width="5.85546875" style="22" bestFit="1" customWidth="1"/>
    <col min="4097" max="4097" width="11" style="22" bestFit="1" customWidth="1"/>
    <col min="4098" max="4098" width="14.140625" style="22" bestFit="1" customWidth="1"/>
    <col min="4099" max="4099" width="15.7109375" style="22" bestFit="1" customWidth="1"/>
    <col min="4100" max="4100" width="10.85546875" style="22" bestFit="1" customWidth="1"/>
    <col min="4101" max="4101" width="7.7109375" style="22" bestFit="1" customWidth="1"/>
    <col min="4102" max="4102" width="13.28515625" style="22" bestFit="1" customWidth="1"/>
    <col min="4103" max="4103" width="17.28515625" style="22" bestFit="1" customWidth="1"/>
    <col min="4104" max="4106" width="8.85546875" style="22" bestFit="1" customWidth="1"/>
    <col min="4107" max="4109" width="8.7109375" style="22" bestFit="1" customWidth="1"/>
    <col min="4110" max="4110" width="16.140625" style="22" bestFit="1" customWidth="1"/>
    <col min="4111" max="4351" width="9.140625" style="22"/>
    <col min="4352" max="4352" width="5.85546875" style="22" bestFit="1" customWidth="1"/>
    <col min="4353" max="4353" width="11" style="22" bestFit="1" customWidth="1"/>
    <col min="4354" max="4354" width="14.140625" style="22" bestFit="1" customWidth="1"/>
    <col min="4355" max="4355" width="15.7109375" style="22" bestFit="1" customWidth="1"/>
    <col min="4356" max="4356" width="10.85546875" style="22" bestFit="1" customWidth="1"/>
    <col min="4357" max="4357" width="7.7109375" style="22" bestFit="1" customWidth="1"/>
    <col min="4358" max="4358" width="13.28515625" style="22" bestFit="1" customWidth="1"/>
    <col min="4359" max="4359" width="17.28515625" style="22" bestFit="1" customWidth="1"/>
    <col min="4360" max="4362" width="8.85546875" style="22" bestFit="1" customWidth="1"/>
    <col min="4363" max="4365" width="8.7109375" style="22" bestFit="1" customWidth="1"/>
    <col min="4366" max="4366" width="16.140625" style="22" bestFit="1" customWidth="1"/>
    <col min="4367" max="4607" width="9.140625" style="22"/>
    <col min="4608" max="4608" width="5.85546875" style="22" bestFit="1" customWidth="1"/>
    <col min="4609" max="4609" width="11" style="22" bestFit="1" customWidth="1"/>
    <col min="4610" max="4610" width="14.140625" style="22" bestFit="1" customWidth="1"/>
    <col min="4611" max="4611" width="15.7109375" style="22" bestFit="1" customWidth="1"/>
    <col min="4612" max="4612" width="10.85546875" style="22" bestFit="1" customWidth="1"/>
    <col min="4613" max="4613" width="7.7109375" style="22" bestFit="1" customWidth="1"/>
    <col min="4614" max="4614" width="13.28515625" style="22" bestFit="1" customWidth="1"/>
    <col min="4615" max="4615" width="17.28515625" style="22" bestFit="1" customWidth="1"/>
    <col min="4616" max="4618" width="8.85546875" style="22" bestFit="1" customWidth="1"/>
    <col min="4619" max="4621" width="8.7109375" style="22" bestFit="1" customWidth="1"/>
    <col min="4622" max="4622" width="16.140625" style="22" bestFit="1" customWidth="1"/>
    <col min="4623" max="4863" width="9.140625" style="22"/>
    <col min="4864" max="4864" width="5.85546875" style="22" bestFit="1" customWidth="1"/>
    <col min="4865" max="4865" width="11" style="22" bestFit="1" customWidth="1"/>
    <col min="4866" max="4866" width="14.140625" style="22" bestFit="1" customWidth="1"/>
    <col min="4867" max="4867" width="15.7109375" style="22" bestFit="1" customWidth="1"/>
    <col min="4868" max="4868" width="10.85546875" style="22" bestFit="1" customWidth="1"/>
    <col min="4869" max="4869" width="7.7109375" style="22" bestFit="1" customWidth="1"/>
    <col min="4870" max="4870" width="13.28515625" style="22" bestFit="1" customWidth="1"/>
    <col min="4871" max="4871" width="17.28515625" style="22" bestFit="1" customWidth="1"/>
    <col min="4872" max="4874" width="8.85546875" style="22" bestFit="1" customWidth="1"/>
    <col min="4875" max="4877" width="8.7109375" style="22" bestFit="1" customWidth="1"/>
    <col min="4878" max="4878" width="16.140625" style="22" bestFit="1" customWidth="1"/>
    <col min="4879" max="5119" width="9.140625" style="22"/>
    <col min="5120" max="5120" width="5.85546875" style="22" bestFit="1" customWidth="1"/>
    <col min="5121" max="5121" width="11" style="22" bestFit="1" customWidth="1"/>
    <col min="5122" max="5122" width="14.140625" style="22" bestFit="1" customWidth="1"/>
    <col min="5123" max="5123" width="15.7109375" style="22" bestFit="1" customWidth="1"/>
    <col min="5124" max="5124" width="10.85546875" style="22" bestFit="1" customWidth="1"/>
    <col min="5125" max="5125" width="7.7109375" style="22" bestFit="1" customWidth="1"/>
    <col min="5126" max="5126" width="13.28515625" style="22" bestFit="1" customWidth="1"/>
    <col min="5127" max="5127" width="17.28515625" style="22" bestFit="1" customWidth="1"/>
    <col min="5128" max="5130" width="8.85546875" style="22" bestFit="1" customWidth="1"/>
    <col min="5131" max="5133" width="8.7109375" style="22" bestFit="1" customWidth="1"/>
    <col min="5134" max="5134" width="16.140625" style="22" bestFit="1" customWidth="1"/>
    <col min="5135" max="5375" width="9.140625" style="22"/>
    <col min="5376" max="5376" width="5.85546875" style="22" bestFit="1" customWidth="1"/>
    <col min="5377" max="5377" width="11" style="22" bestFit="1" customWidth="1"/>
    <col min="5378" max="5378" width="14.140625" style="22" bestFit="1" customWidth="1"/>
    <col min="5379" max="5379" width="15.7109375" style="22" bestFit="1" customWidth="1"/>
    <col min="5380" max="5380" width="10.85546875" style="22" bestFit="1" customWidth="1"/>
    <col min="5381" max="5381" width="7.7109375" style="22" bestFit="1" customWidth="1"/>
    <col min="5382" max="5382" width="13.28515625" style="22" bestFit="1" customWidth="1"/>
    <col min="5383" max="5383" width="17.28515625" style="22" bestFit="1" customWidth="1"/>
    <col min="5384" max="5386" width="8.85546875" style="22" bestFit="1" customWidth="1"/>
    <col min="5387" max="5389" width="8.7109375" style="22" bestFit="1" customWidth="1"/>
    <col min="5390" max="5390" width="16.140625" style="22" bestFit="1" customWidth="1"/>
    <col min="5391" max="5631" width="9.140625" style="22"/>
    <col min="5632" max="5632" width="5.85546875" style="22" bestFit="1" customWidth="1"/>
    <col min="5633" max="5633" width="11" style="22" bestFit="1" customWidth="1"/>
    <col min="5634" max="5634" width="14.140625" style="22" bestFit="1" customWidth="1"/>
    <col min="5635" max="5635" width="15.7109375" style="22" bestFit="1" customWidth="1"/>
    <col min="5636" max="5636" width="10.85546875" style="22" bestFit="1" customWidth="1"/>
    <col min="5637" max="5637" width="7.7109375" style="22" bestFit="1" customWidth="1"/>
    <col min="5638" max="5638" width="13.28515625" style="22" bestFit="1" customWidth="1"/>
    <col min="5639" max="5639" width="17.28515625" style="22" bestFit="1" customWidth="1"/>
    <col min="5640" max="5642" width="8.85546875" style="22" bestFit="1" customWidth="1"/>
    <col min="5643" max="5645" width="8.7109375" style="22" bestFit="1" customWidth="1"/>
    <col min="5646" max="5646" width="16.140625" style="22" bestFit="1" customWidth="1"/>
    <col min="5647" max="5887" width="9.140625" style="22"/>
    <col min="5888" max="5888" width="5.85546875" style="22" bestFit="1" customWidth="1"/>
    <col min="5889" max="5889" width="11" style="22" bestFit="1" customWidth="1"/>
    <col min="5890" max="5890" width="14.140625" style="22" bestFit="1" customWidth="1"/>
    <col min="5891" max="5891" width="15.7109375" style="22" bestFit="1" customWidth="1"/>
    <col min="5892" max="5892" width="10.85546875" style="22" bestFit="1" customWidth="1"/>
    <col min="5893" max="5893" width="7.7109375" style="22" bestFit="1" customWidth="1"/>
    <col min="5894" max="5894" width="13.28515625" style="22" bestFit="1" customWidth="1"/>
    <col min="5895" max="5895" width="17.28515625" style="22" bestFit="1" customWidth="1"/>
    <col min="5896" max="5898" width="8.85546875" style="22" bestFit="1" customWidth="1"/>
    <col min="5899" max="5901" width="8.7109375" style="22" bestFit="1" customWidth="1"/>
    <col min="5902" max="5902" width="16.140625" style="22" bestFit="1" customWidth="1"/>
    <col min="5903" max="6143" width="9.140625" style="22"/>
    <col min="6144" max="6144" width="5.85546875" style="22" bestFit="1" customWidth="1"/>
    <col min="6145" max="6145" width="11" style="22" bestFit="1" customWidth="1"/>
    <col min="6146" max="6146" width="14.140625" style="22" bestFit="1" customWidth="1"/>
    <col min="6147" max="6147" width="15.7109375" style="22" bestFit="1" customWidth="1"/>
    <col min="6148" max="6148" width="10.85546875" style="22" bestFit="1" customWidth="1"/>
    <col min="6149" max="6149" width="7.7109375" style="22" bestFit="1" customWidth="1"/>
    <col min="6150" max="6150" width="13.28515625" style="22" bestFit="1" customWidth="1"/>
    <col min="6151" max="6151" width="17.28515625" style="22" bestFit="1" customWidth="1"/>
    <col min="6152" max="6154" width="8.85546875" style="22" bestFit="1" customWidth="1"/>
    <col min="6155" max="6157" width="8.7109375" style="22" bestFit="1" customWidth="1"/>
    <col min="6158" max="6158" width="16.140625" style="22" bestFit="1" customWidth="1"/>
    <col min="6159" max="6399" width="9.140625" style="22"/>
    <col min="6400" max="6400" width="5.85546875" style="22" bestFit="1" customWidth="1"/>
    <col min="6401" max="6401" width="11" style="22" bestFit="1" customWidth="1"/>
    <col min="6402" max="6402" width="14.140625" style="22" bestFit="1" customWidth="1"/>
    <col min="6403" max="6403" width="15.7109375" style="22" bestFit="1" customWidth="1"/>
    <col min="6404" max="6404" width="10.85546875" style="22" bestFit="1" customWidth="1"/>
    <col min="6405" max="6405" width="7.7109375" style="22" bestFit="1" customWidth="1"/>
    <col min="6406" max="6406" width="13.28515625" style="22" bestFit="1" customWidth="1"/>
    <col min="6407" max="6407" width="17.28515625" style="22" bestFit="1" customWidth="1"/>
    <col min="6408" max="6410" width="8.85546875" style="22" bestFit="1" customWidth="1"/>
    <col min="6411" max="6413" width="8.7109375" style="22" bestFit="1" customWidth="1"/>
    <col min="6414" max="6414" width="16.140625" style="22" bestFit="1" customWidth="1"/>
    <col min="6415" max="6655" width="9.140625" style="22"/>
    <col min="6656" max="6656" width="5.85546875" style="22" bestFit="1" customWidth="1"/>
    <col min="6657" max="6657" width="11" style="22" bestFit="1" customWidth="1"/>
    <col min="6658" max="6658" width="14.140625" style="22" bestFit="1" customWidth="1"/>
    <col min="6659" max="6659" width="15.7109375" style="22" bestFit="1" customWidth="1"/>
    <col min="6660" max="6660" width="10.85546875" style="22" bestFit="1" customWidth="1"/>
    <col min="6661" max="6661" width="7.7109375" style="22" bestFit="1" customWidth="1"/>
    <col min="6662" max="6662" width="13.28515625" style="22" bestFit="1" customWidth="1"/>
    <col min="6663" max="6663" width="17.28515625" style="22" bestFit="1" customWidth="1"/>
    <col min="6664" max="6666" width="8.85546875" style="22" bestFit="1" customWidth="1"/>
    <col min="6667" max="6669" width="8.7109375" style="22" bestFit="1" customWidth="1"/>
    <col min="6670" max="6670" width="16.140625" style="22" bestFit="1" customWidth="1"/>
    <col min="6671" max="6911" width="9.140625" style="22"/>
    <col min="6912" max="6912" width="5.85546875" style="22" bestFit="1" customWidth="1"/>
    <col min="6913" max="6913" width="11" style="22" bestFit="1" customWidth="1"/>
    <col min="6914" max="6914" width="14.140625" style="22" bestFit="1" customWidth="1"/>
    <col min="6915" max="6915" width="15.7109375" style="22" bestFit="1" customWidth="1"/>
    <col min="6916" max="6916" width="10.85546875" style="22" bestFit="1" customWidth="1"/>
    <col min="6917" max="6917" width="7.7109375" style="22" bestFit="1" customWidth="1"/>
    <col min="6918" max="6918" width="13.28515625" style="22" bestFit="1" customWidth="1"/>
    <col min="6919" max="6919" width="17.28515625" style="22" bestFit="1" customWidth="1"/>
    <col min="6920" max="6922" width="8.85546875" style="22" bestFit="1" customWidth="1"/>
    <col min="6923" max="6925" width="8.7109375" style="22" bestFit="1" customWidth="1"/>
    <col min="6926" max="6926" width="16.140625" style="22" bestFit="1" customWidth="1"/>
    <col min="6927" max="7167" width="9.140625" style="22"/>
    <col min="7168" max="7168" width="5.85546875" style="22" bestFit="1" customWidth="1"/>
    <col min="7169" max="7169" width="11" style="22" bestFit="1" customWidth="1"/>
    <col min="7170" max="7170" width="14.140625" style="22" bestFit="1" customWidth="1"/>
    <col min="7171" max="7171" width="15.7109375" style="22" bestFit="1" customWidth="1"/>
    <col min="7172" max="7172" width="10.85546875" style="22" bestFit="1" customWidth="1"/>
    <col min="7173" max="7173" width="7.7109375" style="22" bestFit="1" customWidth="1"/>
    <col min="7174" max="7174" width="13.28515625" style="22" bestFit="1" customWidth="1"/>
    <col min="7175" max="7175" width="17.28515625" style="22" bestFit="1" customWidth="1"/>
    <col min="7176" max="7178" width="8.85546875" style="22" bestFit="1" customWidth="1"/>
    <col min="7179" max="7181" width="8.7109375" style="22" bestFit="1" customWidth="1"/>
    <col min="7182" max="7182" width="16.140625" style="22" bestFit="1" customWidth="1"/>
    <col min="7183" max="7423" width="9.140625" style="22"/>
    <col min="7424" max="7424" width="5.85546875" style="22" bestFit="1" customWidth="1"/>
    <col min="7425" max="7425" width="11" style="22" bestFit="1" customWidth="1"/>
    <col min="7426" max="7426" width="14.140625" style="22" bestFit="1" customWidth="1"/>
    <col min="7427" max="7427" width="15.7109375" style="22" bestFit="1" customWidth="1"/>
    <col min="7428" max="7428" width="10.85546875" style="22" bestFit="1" customWidth="1"/>
    <col min="7429" max="7429" width="7.7109375" style="22" bestFit="1" customWidth="1"/>
    <col min="7430" max="7430" width="13.28515625" style="22" bestFit="1" customWidth="1"/>
    <col min="7431" max="7431" width="17.28515625" style="22" bestFit="1" customWidth="1"/>
    <col min="7432" max="7434" width="8.85546875" style="22" bestFit="1" customWidth="1"/>
    <col min="7435" max="7437" width="8.7109375" style="22" bestFit="1" customWidth="1"/>
    <col min="7438" max="7438" width="16.140625" style="22" bestFit="1" customWidth="1"/>
    <col min="7439" max="7679" width="9.140625" style="22"/>
    <col min="7680" max="7680" width="5.85546875" style="22" bestFit="1" customWidth="1"/>
    <col min="7681" max="7681" width="11" style="22" bestFit="1" customWidth="1"/>
    <col min="7682" max="7682" width="14.140625" style="22" bestFit="1" customWidth="1"/>
    <col min="7683" max="7683" width="15.7109375" style="22" bestFit="1" customWidth="1"/>
    <col min="7684" max="7684" width="10.85546875" style="22" bestFit="1" customWidth="1"/>
    <col min="7685" max="7685" width="7.7109375" style="22" bestFit="1" customWidth="1"/>
    <col min="7686" max="7686" width="13.28515625" style="22" bestFit="1" customWidth="1"/>
    <col min="7687" max="7687" width="17.28515625" style="22" bestFit="1" customWidth="1"/>
    <col min="7688" max="7690" width="8.85546875" style="22" bestFit="1" customWidth="1"/>
    <col min="7691" max="7693" width="8.7109375" style="22" bestFit="1" customWidth="1"/>
    <col min="7694" max="7694" width="16.140625" style="22" bestFit="1" customWidth="1"/>
    <col min="7695" max="7935" width="9.140625" style="22"/>
    <col min="7936" max="7936" width="5.85546875" style="22" bestFit="1" customWidth="1"/>
    <col min="7937" max="7937" width="11" style="22" bestFit="1" customWidth="1"/>
    <col min="7938" max="7938" width="14.140625" style="22" bestFit="1" customWidth="1"/>
    <col min="7939" max="7939" width="15.7109375" style="22" bestFit="1" customWidth="1"/>
    <col min="7940" max="7940" width="10.85546875" style="22" bestFit="1" customWidth="1"/>
    <col min="7941" max="7941" width="7.7109375" style="22" bestFit="1" customWidth="1"/>
    <col min="7942" max="7942" width="13.28515625" style="22" bestFit="1" customWidth="1"/>
    <col min="7943" max="7943" width="17.28515625" style="22" bestFit="1" customWidth="1"/>
    <col min="7944" max="7946" width="8.85546875" style="22" bestFit="1" customWidth="1"/>
    <col min="7947" max="7949" width="8.7109375" style="22" bestFit="1" customWidth="1"/>
    <col min="7950" max="7950" width="16.140625" style="22" bestFit="1" customWidth="1"/>
    <col min="7951" max="8191" width="9.140625" style="22"/>
    <col min="8192" max="8192" width="5.85546875" style="22" bestFit="1" customWidth="1"/>
    <col min="8193" max="8193" width="11" style="22" bestFit="1" customWidth="1"/>
    <col min="8194" max="8194" width="14.140625" style="22" bestFit="1" customWidth="1"/>
    <col min="8195" max="8195" width="15.7109375" style="22" bestFit="1" customWidth="1"/>
    <col min="8196" max="8196" width="10.85546875" style="22" bestFit="1" customWidth="1"/>
    <col min="8197" max="8197" width="7.7109375" style="22" bestFit="1" customWidth="1"/>
    <col min="8198" max="8198" width="13.28515625" style="22" bestFit="1" customWidth="1"/>
    <col min="8199" max="8199" width="17.28515625" style="22" bestFit="1" customWidth="1"/>
    <col min="8200" max="8202" width="8.85546875" style="22" bestFit="1" customWidth="1"/>
    <col min="8203" max="8205" width="8.7109375" style="22" bestFit="1" customWidth="1"/>
    <col min="8206" max="8206" width="16.140625" style="22" bestFit="1" customWidth="1"/>
    <col min="8207" max="8447" width="9.140625" style="22"/>
    <col min="8448" max="8448" width="5.85546875" style="22" bestFit="1" customWidth="1"/>
    <col min="8449" max="8449" width="11" style="22" bestFit="1" customWidth="1"/>
    <col min="8450" max="8450" width="14.140625" style="22" bestFit="1" customWidth="1"/>
    <col min="8451" max="8451" width="15.7109375" style="22" bestFit="1" customWidth="1"/>
    <col min="8452" max="8452" width="10.85546875" style="22" bestFit="1" customWidth="1"/>
    <col min="8453" max="8453" width="7.7109375" style="22" bestFit="1" customWidth="1"/>
    <col min="8454" max="8454" width="13.28515625" style="22" bestFit="1" customWidth="1"/>
    <col min="8455" max="8455" width="17.28515625" style="22" bestFit="1" customWidth="1"/>
    <col min="8456" max="8458" width="8.85546875" style="22" bestFit="1" customWidth="1"/>
    <col min="8459" max="8461" width="8.7109375" style="22" bestFit="1" customWidth="1"/>
    <col min="8462" max="8462" width="16.140625" style="22" bestFit="1" customWidth="1"/>
    <col min="8463" max="8703" width="9.140625" style="22"/>
    <col min="8704" max="8704" width="5.85546875" style="22" bestFit="1" customWidth="1"/>
    <col min="8705" max="8705" width="11" style="22" bestFit="1" customWidth="1"/>
    <col min="8706" max="8706" width="14.140625" style="22" bestFit="1" customWidth="1"/>
    <col min="8707" max="8707" width="15.7109375" style="22" bestFit="1" customWidth="1"/>
    <col min="8708" max="8708" width="10.85546875" style="22" bestFit="1" customWidth="1"/>
    <col min="8709" max="8709" width="7.7109375" style="22" bestFit="1" customWidth="1"/>
    <col min="8710" max="8710" width="13.28515625" style="22" bestFit="1" customWidth="1"/>
    <col min="8711" max="8711" width="17.28515625" style="22" bestFit="1" customWidth="1"/>
    <col min="8712" max="8714" width="8.85546875" style="22" bestFit="1" customWidth="1"/>
    <col min="8715" max="8717" width="8.7109375" style="22" bestFit="1" customWidth="1"/>
    <col min="8718" max="8718" width="16.140625" style="22" bestFit="1" customWidth="1"/>
    <col min="8719" max="8959" width="9.140625" style="22"/>
    <col min="8960" max="8960" width="5.85546875" style="22" bestFit="1" customWidth="1"/>
    <col min="8961" max="8961" width="11" style="22" bestFit="1" customWidth="1"/>
    <col min="8962" max="8962" width="14.140625" style="22" bestFit="1" customWidth="1"/>
    <col min="8963" max="8963" width="15.7109375" style="22" bestFit="1" customWidth="1"/>
    <col min="8964" max="8964" width="10.85546875" style="22" bestFit="1" customWidth="1"/>
    <col min="8965" max="8965" width="7.7109375" style="22" bestFit="1" customWidth="1"/>
    <col min="8966" max="8966" width="13.28515625" style="22" bestFit="1" customWidth="1"/>
    <col min="8967" max="8967" width="17.28515625" style="22" bestFit="1" customWidth="1"/>
    <col min="8968" max="8970" width="8.85546875" style="22" bestFit="1" customWidth="1"/>
    <col min="8971" max="8973" width="8.7109375" style="22" bestFit="1" customWidth="1"/>
    <col min="8974" max="8974" width="16.140625" style="22" bestFit="1" customWidth="1"/>
    <col min="8975" max="9215" width="9.140625" style="22"/>
    <col min="9216" max="9216" width="5.85546875" style="22" bestFit="1" customWidth="1"/>
    <col min="9217" max="9217" width="11" style="22" bestFit="1" customWidth="1"/>
    <col min="9218" max="9218" width="14.140625" style="22" bestFit="1" customWidth="1"/>
    <col min="9219" max="9219" width="15.7109375" style="22" bestFit="1" customWidth="1"/>
    <col min="9220" max="9220" width="10.85546875" style="22" bestFit="1" customWidth="1"/>
    <col min="9221" max="9221" width="7.7109375" style="22" bestFit="1" customWidth="1"/>
    <col min="9222" max="9222" width="13.28515625" style="22" bestFit="1" customWidth="1"/>
    <col min="9223" max="9223" width="17.28515625" style="22" bestFit="1" customWidth="1"/>
    <col min="9224" max="9226" width="8.85546875" style="22" bestFit="1" customWidth="1"/>
    <col min="9227" max="9229" width="8.7109375" style="22" bestFit="1" customWidth="1"/>
    <col min="9230" max="9230" width="16.140625" style="22" bestFit="1" customWidth="1"/>
    <col min="9231" max="9471" width="9.140625" style="22"/>
    <col min="9472" max="9472" width="5.85546875" style="22" bestFit="1" customWidth="1"/>
    <col min="9473" max="9473" width="11" style="22" bestFit="1" customWidth="1"/>
    <col min="9474" max="9474" width="14.140625" style="22" bestFit="1" customWidth="1"/>
    <col min="9475" max="9475" width="15.7109375" style="22" bestFit="1" customWidth="1"/>
    <col min="9476" max="9476" width="10.85546875" style="22" bestFit="1" customWidth="1"/>
    <col min="9477" max="9477" width="7.7109375" style="22" bestFit="1" customWidth="1"/>
    <col min="9478" max="9478" width="13.28515625" style="22" bestFit="1" customWidth="1"/>
    <col min="9479" max="9479" width="17.28515625" style="22" bestFit="1" customWidth="1"/>
    <col min="9480" max="9482" width="8.85546875" style="22" bestFit="1" customWidth="1"/>
    <col min="9483" max="9485" width="8.7109375" style="22" bestFit="1" customWidth="1"/>
    <col min="9486" max="9486" width="16.140625" style="22" bestFit="1" customWidth="1"/>
    <col min="9487" max="9727" width="9.140625" style="22"/>
    <col min="9728" max="9728" width="5.85546875" style="22" bestFit="1" customWidth="1"/>
    <col min="9729" max="9729" width="11" style="22" bestFit="1" customWidth="1"/>
    <col min="9730" max="9730" width="14.140625" style="22" bestFit="1" customWidth="1"/>
    <col min="9731" max="9731" width="15.7109375" style="22" bestFit="1" customWidth="1"/>
    <col min="9732" max="9732" width="10.85546875" style="22" bestFit="1" customWidth="1"/>
    <col min="9733" max="9733" width="7.7109375" style="22" bestFit="1" customWidth="1"/>
    <col min="9734" max="9734" width="13.28515625" style="22" bestFit="1" customWidth="1"/>
    <col min="9735" max="9735" width="17.28515625" style="22" bestFit="1" customWidth="1"/>
    <col min="9736" max="9738" width="8.85546875" style="22" bestFit="1" customWidth="1"/>
    <col min="9739" max="9741" width="8.7109375" style="22" bestFit="1" customWidth="1"/>
    <col min="9742" max="9742" width="16.140625" style="22" bestFit="1" customWidth="1"/>
    <col min="9743" max="9983" width="9.140625" style="22"/>
    <col min="9984" max="9984" width="5.85546875" style="22" bestFit="1" customWidth="1"/>
    <col min="9985" max="9985" width="11" style="22" bestFit="1" customWidth="1"/>
    <col min="9986" max="9986" width="14.140625" style="22" bestFit="1" customWidth="1"/>
    <col min="9987" max="9987" width="15.7109375" style="22" bestFit="1" customWidth="1"/>
    <col min="9988" max="9988" width="10.85546875" style="22" bestFit="1" customWidth="1"/>
    <col min="9989" max="9989" width="7.7109375" style="22" bestFit="1" customWidth="1"/>
    <col min="9990" max="9990" width="13.28515625" style="22" bestFit="1" customWidth="1"/>
    <col min="9991" max="9991" width="17.28515625" style="22" bestFit="1" customWidth="1"/>
    <col min="9992" max="9994" width="8.85546875" style="22" bestFit="1" customWidth="1"/>
    <col min="9995" max="9997" width="8.7109375" style="22" bestFit="1" customWidth="1"/>
    <col min="9998" max="9998" width="16.140625" style="22" bestFit="1" customWidth="1"/>
    <col min="9999" max="10239" width="9.140625" style="22"/>
    <col min="10240" max="10240" width="5.85546875" style="22" bestFit="1" customWidth="1"/>
    <col min="10241" max="10241" width="11" style="22" bestFit="1" customWidth="1"/>
    <col min="10242" max="10242" width="14.140625" style="22" bestFit="1" customWidth="1"/>
    <col min="10243" max="10243" width="15.7109375" style="22" bestFit="1" customWidth="1"/>
    <col min="10244" max="10244" width="10.85546875" style="22" bestFit="1" customWidth="1"/>
    <col min="10245" max="10245" width="7.7109375" style="22" bestFit="1" customWidth="1"/>
    <col min="10246" max="10246" width="13.28515625" style="22" bestFit="1" customWidth="1"/>
    <col min="10247" max="10247" width="17.28515625" style="22" bestFit="1" customWidth="1"/>
    <col min="10248" max="10250" width="8.85546875" style="22" bestFit="1" customWidth="1"/>
    <col min="10251" max="10253" width="8.7109375" style="22" bestFit="1" customWidth="1"/>
    <col min="10254" max="10254" width="16.140625" style="22" bestFit="1" customWidth="1"/>
    <col min="10255" max="10495" width="9.140625" style="22"/>
    <col min="10496" max="10496" width="5.85546875" style="22" bestFit="1" customWidth="1"/>
    <col min="10497" max="10497" width="11" style="22" bestFit="1" customWidth="1"/>
    <col min="10498" max="10498" width="14.140625" style="22" bestFit="1" customWidth="1"/>
    <col min="10499" max="10499" width="15.7109375" style="22" bestFit="1" customWidth="1"/>
    <col min="10500" max="10500" width="10.85546875" style="22" bestFit="1" customWidth="1"/>
    <col min="10501" max="10501" width="7.7109375" style="22" bestFit="1" customWidth="1"/>
    <col min="10502" max="10502" width="13.28515625" style="22" bestFit="1" customWidth="1"/>
    <col min="10503" max="10503" width="17.28515625" style="22" bestFit="1" customWidth="1"/>
    <col min="10504" max="10506" width="8.85546875" style="22" bestFit="1" customWidth="1"/>
    <col min="10507" max="10509" width="8.7109375" style="22" bestFit="1" customWidth="1"/>
    <col min="10510" max="10510" width="16.140625" style="22" bestFit="1" customWidth="1"/>
    <col min="10511" max="10751" width="9.140625" style="22"/>
    <col min="10752" max="10752" width="5.85546875" style="22" bestFit="1" customWidth="1"/>
    <col min="10753" max="10753" width="11" style="22" bestFit="1" customWidth="1"/>
    <col min="10754" max="10754" width="14.140625" style="22" bestFit="1" customWidth="1"/>
    <col min="10755" max="10755" width="15.7109375" style="22" bestFit="1" customWidth="1"/>
    <col min="10756" max="10756" width="10.85546875" style="22" bestFit="1" customWidth="1"/>
    <col min="10757" max="10757" width="7.7109375" style="22" bestFit="1" customWidth="1"/>
    <col min="10758" max="10758" width="13.28515625" style="22" bestFit="1" customWidth="1"/>
    <col min="10759" max="10759" width="17.28515625" style="22" bestFit="1" customWidth="1"/>
    <col min="10760" max="10762" width="8.85546875" style="22" bestFit="1" customWidth="1"/>
    <col min="10763" max="10765" width="8.7109375" style="22" bestFit="1" customWidth="1"/>
    <col min="10766" max="10766" width="16.140625" style="22" bestFit="1" customWidth="1"/>
    <col min="10767" max="11007" width="9.140625" style="22"/>
    <col min="11008" max="11008" width="5.85546875" style="22" bestFit="1" customWidth="1"/>
    <col min="11009" max="11009" width="11" style="22" bestFit="1" customWidth="1"/>
    <col min="11010" max="11010" width="14.140625" style="22" bestFit="1" customWidth="1"/>
    <col min="11011" max="11011" width="15.7109375" style="22" bestFit="1" customWidth="1"/>
    <col min="11012" max="11012" width="10.85546875" style="22" bestFit="1" customWidth="1"/>
    <col min="11013" max="11013" width="7.7109375" style="22" bestFit="1" customWidth="1"/>
    <col min="11014" max="11014" width="13.28515625" style="22" bestFit="1" customWidth="1"/>
    <col min="11015" max="11015" width="17.28515625" style="22" bestFit="1" customWidth="1"/>
    <col min="11016" max="11018" width="8.85546875" style="22" bestFit="1" customWidth="1"/>
    <col min="11019" max="11021" width="8.7109375" style="22" bestFit="1" customWidth="1"/>
    <col min="11022" max="11022" width="16.140625" style="22" bestFit="1" customWidth="1"/>
    <col min="11023" max="11263" width="9.140625" style="22"/>
    <col min="11264" max="11264" width="5.85546875" style="22" bestFit="1" customWidth="1"/>
    <col min="11265" max="11265" width="11" style="22" bestFit="1" customWidth="1"/>
    <col min="11266" max="11266" width="14.140625" style="22" bestFit="1" customWidth="1"/>
    <col min="11267" max="11267" width="15.7109375" style="22" bestFit="1" customWidth="1"/>
    <col min="11268" max="11268" width="10.85546875" style="22" bestFit="1" customWidth="1"/>
    <col min="11269" max="11269" width="7.7109375" style="22" bestFit="1" customWidth="1"/>
    <col min="11270" max="11270" width="13.28515625" style="22" bestFit="1" customWidth="1"/>
    <col min="11271" max="11271" width="17.28515625" style="22" bestFit="1" customWidth="1"/>
    <col min="11272" max="11274" width="8.85546875" style="22" bestFit="1" customWidth="1"/>
    <col min="11275" max="11277" width="8.7109375" style="22" bestFit="1" customWidth="1"/>
    <col min="11278" max="11278" width="16.140625" style="22" bestFit="1" customWidth="1"/>
    <col min="11279" max="11519" width="9.140625" style="22"/>
    <col min="11520" max="11520" width="5.85546875" style="22" bestFit="1" customWidth="1"/>
    <col min="11521" max="11521" width="11" style="22" bestFit="1" customWidth="1"/>
    <col min="11522" max="11522" width="14.140625" style="22" bestFit="1" customWidth="1"/>
    <col min="11523" max="11523" width="15.7109375" style="22" bestFit="1" customWidth="1"/>
    <col min="11524" max="11524" width="10.85546875" style="22" bestFit="1" customWidth="1"/>
    <col min="11525" max="11525" width="7.7109375" style="22" bestFit="1" customWidth="1"/>
    <col min="11526" max="11526" width="13.28515625" style="22" bestFit="1" customWidth="1"/>
    <col min="11527" max="11527" width="17.28515625" style="22" bestFit="1" customWidth="1"/>
    <col min="11528" max="11530" width="8.85546875" style="22" bestFit="1" customWidth="1"/>
    <col min="11531" max="11533" width="8.7109375" style="22" bestFit="1" customWidth="1"/>
    <col min="11534" max="11534" width="16.140625" style="22" bestFit="1" customWidth="1"/>
    <col min="11535" max="11775" width="9.140625" style="22"/>
    <col min="11776" max="11776" width="5.85546875" style="22" bestFit="1" customWidth="1"/>
    <col min="11777" max="11777" width="11" style="22" bestFit="1" customWidth="1"/>
    <col min="11778" max="11778" width="14.140625" style="22" bestFit="1" customWidth="1"/>
    <col min="11779" max="11779" width="15.7109375" style="22" bestFit="1" customWidth="1"/>
    <col min="11780" max="11780" width="10.85546875" style="22" bestFit="1" customWidth="1"/>
    <col min="11781" max="11781" width="7.7109375" style="22" bestFit="1" customWidth="1"/>
    <col min="11782" max="11782" width="13.28515625" style="22" bestFit="1" customWidth="1"/>
    <col min="11783" max="11783" width="17.28515625" style="22" bestFit="1" customWidth="1"/>
    <col min="11784" max="11786" width="8.85546875" style="22" bestFit="1" customWidth="1"/>
    <col min="11787" max="11789" width="8.7109375" style="22" bestFit="1" customWidth="1"/>
    <col min="11790" max="11790" width="16.140625" style="22" bestFit="1" customWidth="1"/>
    <col min="11791" max="12031" width="9.140625" style="22"/>
    <col min="12032" max="12032" width="5.85546875" style="22" bestFit="1" customWidth="1"/>
    <col min="12033" max="12033" width="11" style="22" bestFit="1" customWidth="1"/>
    <col min="12034" max="12034" width="14.140625" style="22" bestFit="1" customWidth="1"/>
    <col min="12035" max="12035" width="15.7109375" style="22" bestFit="1" customWidth="1"/>
    <col min="12036" max="12036" width="10.85546875" style="22" bestFit="1" customWidth="1"/>
    <col min="12037" max="12037" width="7.7109375" style="22" bestFit="1" customWidth="1"/>
    <col min="12038" max="12038" width="13.28515625" style="22" bestFit="1" customWidth="1"/>
    <col min="12039" max="12039" width="17.28515625" style="22" bestFit="1" customWidth="1"/>
    <col min="12040" max="12042" width="8.85546875" style="22" bestFit="1" customWidth="1"/>
    <col min="12043" max="12045" width="8.7109375" style="22" bestFit="1" customWidth="1"/>
    <col min="12046" max="12046" width="16.140625" style="22" bestFit="1" customWidth="1"/>
    <col min="12047" max="12287" width="9.140625" style="22"/>
    <col min="12288" max="12288" width="5.85546875" style="22" bestFit="1" customWidth="1"/>
    <col min="12289" max="12289" width="11" style="22" bestFit="1" customWidth="1"/>
    <col min="12290" max="12290" width="14.140625" style="22" bestFit="1" customWidth="1"/>
    <col min="12291" max="12291" width="15.7109375" style="22" bestFit="1" customWidth="1"/>
    <col min="12292" max="12292" width="10.85546875" style="22" bestFit="1" customWidth="1"/>
    <col min="12293" max="12293" width="7.7109375" style="22" bestFit="1" customWidth="1"/>
    <col min="12294" max="12294" width="13.28515625" style="22" bestFit="1" customWidth="1"/>
    <col min="12295" max="12295" width="17.28515625" style="22" bestFit="1" customWidth="1"/>
    <col min="12296" max="12298" width="8.85546875" style="22" bestFit="1" customWidth="1"/>
    <col min="12299" max="12301" width="8.7109375" style="22" bestFit="1" customWidth="1"/>
    <col min="12302" max="12302" width="16.140625" style="22" bestFit="1" customWidth="1"/>
    <col min="12303" max="12543" width="9.140625" style="22"/>
    <col min="12544" max="12544" width="5.85546875" style="22" bestFit="1" customWidth="1"/>
    <col min="12545" max="12545" width="11" style="22" bestFit="1" customWidth="1"/>
    <col min="12546" max="12546" width="14.140625" style="22" bestFit="1" customWidth="1"/>
    <col min="12547" max="12547" width="15.7109375" style="22" bestFit="1" customWidth="1"/>
    <col min="12548" max="12548" width="10.85546875" style="22" bestFit="1" customWidth="1"/>
    <col min="12549" max="12549" width="7.7109375" style="22" bestFit="1" customWidth="1"/>
    <col min="12550" max="12550" width="13.28515625" style="22" bestFit="1" customWidth="1"/>
    <col min="12551" max="12551" width="17.28515625" style="22" bestFit="1" customWidth="1"/>
    <col min="12552" max="12554" width="8.85546875" style="22" bestFit="1" customWidth="1"/>
    <col min="12555" max="12557" width="8.7109375" style="22" bestFit="1" customWidth="1"/>
    <col min="12558" max="12558" width="16.140625" style="22" bestFit="1" customWidth="1"/>
    <col min="12559" max="12799" width="9.140625" style="22"/>
    <col min="12800" max="12800" width="5.85546875" style="22" bestFit="1" customWidth="1"/>
    <col min="12801" max="12801" width="11" style="22" bestFit="1" customWidth="1"/>
    <col min="12802" max="12802" width="14.140625" style="22" bestFit="1" customWidth="1"/>
    <col min="12803" max="12803" width="15.7109375" style="22" bestFit="1" customWidth="1"/>
    <col min="12804" max="12804" width="10.85546875" style="22" bestFit="1" customWidth="1"/>
    <col min="12805" max="12805" width="7.7109375" style="22" bestFit="1" customWidth="1"/>
    <col min="12806" max="12806" width="13.28515625" style="22" bestFit="1" customWidth="1"/>
    <col min="12807" max="12807" width="17.28515625" style="22" bestFit="1" customWidth="1"/>
    <col min="12808" max="12810" width="8.85546875" style="22" bestFit="1" customWidth="1"/>
    <col min="12811" max="12813" width="8.7109375" style="22" bestFit="1" customWidth="1"/>
    <col min="12814" max="12814" width="16.140625" style="22" bestFit="1" customWidth="1"/>
    <col min="12815" max="13055" width="9.140625" style="22"/>
    <col min="13056" max="13056" width="5.85546875" style="22" bestFit="1" customWidth="1"/>
    <col min="13057" max="13057" width="11" style="22" bestFit="1" customWidth="1"/>
    <col min="13058" max="13058" width="14.140625" style="22" bestFit="1" customWidth="1"/>
    <col min="13059" max="13059" width="15.7109375" style="22" bestFit="1" customWidth="1"/>
    <col min="13060" max="13060" width="10.85546875" style="22" bestFit="1" customWidth="1"/>
    <col min="13061" max="13061" width="7.7109375" style="22" bestFit="1" customWidth="1"/>
    <col min="13062" max="13062" width="13.28515625" style="22" bestFit="1" customWidth="1"/>
    <col min="13063" max="13063" width="17.28515625" style="22" bestFit="1" customWidth="1"/>
    <col min="13064" max="13066" width="8.85546875" style="22" bestFit="1" customWidth="1"/>
    <col min="13067" max="13069" width="8.7109375" style="22" bestFit="1" customWidth="1"/>
    <col min="13070" max="13070" width="16.140625" style="22" bestFit="1" customWidth="1"/>
    <col min="13071" max="13311" width="9.140625" style="22"/>
    <col min="13312" max="13312" width="5.85546875" style="22" bestFit="1" customWidth="1"/>
    <col min="13313" max="13313" width="11" style="22" bestFit="1" customWidth="1"/>
    <col min="13314" max="13314" width="14.140625" style="22" bestFit="1" customWidth="1"/>
    <col min="13315" max="13315" width="15.7109375" style="22" bestFit="1" customWidth="1"/>
    <col min="13316" max="13316" width="10.85546875" style="22" bestFit="1" customWidth="1"/>
    <col min="13317" max="13317" width="7.7109375" style="22" bestFit="1" customWidth="1"/>
    <col min="13318" max="13318" width="13.28515625" style="22" bestFit="1" customWidth="1"/>
    <col min="13319" max="13319" width="17.28515625" style="22" bestFit="1" customWidth="1"/>
    <col min="13320" max="13322" width="8.85546875" style="22" bestFit="1" customWidth="1"/>
    <col min="13323" max="13325" width="8.7109375" style="22" bestFit="1" customWidth="1"/>
    <col min="13326" max="13326" width="16.140625" style="22" bestFit="1" customWidth="1"/>
    <col min="13327" max="13567" width="9.140625" style="22"/>
    <col min="13568" max="13568" width="5.85546875" style="22" bestFit="1" customWidth="1"/>
    <col min="13569" max="13569" width="11" style="22" bestFit="1" customWidth="1"/>
    <col min="13570" max="13570" width="14.140625" style="22" bestFit="1" customWidth="1"/>
    <col min="13571" max="13571" width="15.7109375" style="22" bestFit="1" customWidth="1"/>
    <col min="13572" max="13572" width="10.85546875" style="22" bestFit="1" customWidth="1"/>
    <col min="13573" max="13573" width="7.7109375" style="22" bestFit="1" customWidth="1"/>
    <col min="13574" max="13574" width="13.28515625" style="22" bestFit="1" customWidth="1"/>
    <col min="13575" max="13575" width="17.28515625" style="22" bestFit="1" customWidth="1"/>
    <col min="13576" max="13578" width="8.85546875" style="22" bestFit="1" customWidth="1"/>
    <col min="13579" max="13581" width="8.7109375" style="22" bestFit="1" customWidth="1"/>
    <col min="13582" max="13582" width="16.140625" style="22" bestFit="1" customWidth="1"/>
    <col min="13583" max="13823" width="9.140625" style="22"/>
    <col min="13824" max="13824" width="5.85546875" style="22" bestFit="1" customWidth="1"/>
    <col min="13825" max="13825" width="11" style="22" bestFit="1" customWidth="1"/>
    <col min="13826" max="13826" width="14.140625" style="22" bestFit="1" customWidth="1"/>
    <col min="13827" max="13827" width="15.7109375" style="22" bestFit="1" customWidth="1"/>
    <col min="13828" max="13828" width="10.85546875" style="22" bestFit="1" customWidth="1"/>
    <col min="13829" max="13829" width="7.7109375" style="22" bestFit="1" customWidth="1"/>
    <col min="13830" max="13830" width="13.28515625" style="22" bestFit="1" customWidth="1"/>
    <col min="13831" max="13831" width="17.28515625" style="22" bestFit="1" customWidth="1"/>
    <col min="13832" max="13834" width="8.85546875" style="22" bestFit="1" customWidth="1"/>
    <col min="13835" max="13837" width="8.7109375" style="22" bestFit="1" customWidth="1"/>
    <col min="13838" max="13838" width="16.140625" style="22" bestFit="1" customWidth="1"/>
    <col min="13839" max="14079" width="9.140625" style="22"/>
    <col min="14080" max="14080" width="5.85546875" style="22" bestFit="1" customWidth="1"/>
    <col min="14081" max="14081" width="11" style="22" bestFit="1" customWidth="1"/>
    <col min="14082" max="14082" width="14.140625" style="22" bestFit="1" customWidth="1"/>
    <col min="14083" max="14083" width="15.7109375" style="22" bestFit="1" customWidth="1"/>
    <col min="14084" max="14084" width="10.85546875" style="22" bestFit="1" customWidth="1"/>
    <col min="14085" max="14085" width="7.7109375" style="22" bestFit="1" customWidth="1"/>
    <col min="14086" max="14086" width="13.28515625" style="22" bestFit="1" customWidth="1"/>
    <col min="14087" max="14087" width="17.28515625" style="22" bestFit="1" customWidth="1"/>
    <col min="14088" max="14090" width="8.85546875" style="22" bestFit="1" customWidth="1"/>
    <col min="14091" max="14093" width="8.7109375" style="22" bestFit="1" customWidth="1"/>
    <col min="14094" max="14094" width="16.140625" style="22" bestFit="1" customWidth="1"/>
    <col min="14095" max="14335" width="9.140625" style="22"/>
    <col min="14336" max="14336" width="5.85546875" style="22" bestFit="1" customWidth="1"/>
    <col min="14337" max="14337" width="11" style="22" bestFit="1" customWidth="1"/>
    <col min="14338" max="14338" width="14.140625" style="22" bestFit="1" customWidth="1"/>
    <col min="14339" max="14339" width="15.7109375" style="22" bestFit="1" customWidth="1"/>
    <col min="14340" max="14340" width="10.85546875" style="22" bestFit="1" customWidth="1"/>
    <col min="14341" max="14341" width="7.7109375" style="22" bestFit="1" customWidth="1"/>
    <col min="14342" max="14342" width="13.28515625" style="22" bestFit="1" customWidth="1"/>
    <col min="14343" max="14343" width="17.28515625" style="22" bestFit="1" customWidth="1"/>
    <col min="14344" max="14346" width="8.85546875" style="22" bestFit="1" customWidth="1"/>
    <col min="14347" max="14349" width="8.7109375" style="22" bestFit="1" customWidth="1"/>
    <col min="14350" max="14350" width="16.140625" style="22" bestFit="1" customWidth="1"/>
    <col min="14351" max="14591" width="9.140625" style="22"/>
    <col min="14592" max="14592" width="5.85546875" style="22" bestFit="1" customWidth="1"/>
    <col min="14593" max="14593" width="11" style="22" bestFit="1" customWidth="1"/>
    <col min="14594" max="14594" width="14.140625" style="22" bestFit="1" customWidth="1"/>
    <col min="14595" max="14595" width="15.7109375" style="22" bestFit="1" customWidth="1"/>
    <col min="14596" max="14596" width="10.85546875" style="22" bestFit="1" customWidth="1"/>
    <col min="14597" max="14597" width="7.7109375" style="22" bestFit="1" customWidth="1"/>
    <col min="14598" max="14598" width="13.28515625" style="22" bestFit="1" customWidth="1"/>
    <col min="14599" max="14599" width="17.28515625" style="22" bestFit="1" customWidth="1"/>
    <col min="14600" max="14602" width="8.85546875" style="22" bestFit="1" customWidth="1"/>
    <col min="14603" max="14605" width="8.7109375" style="22" bestFit="1" customWidth="1"/>
    <col min="14606" max="14606" width="16.140625" style="22" bestFit="1" customWidth="1"/>
    <col min="14607" max="14847" width="9.140625" style="22"/>
    <col min="14848" max="14848" width="5.85546875" style="22" bestFit="1" customWidth="1"/>
    <col min="14849" max="14849" width="11" style="22" bestFit="1" customWidth="1"/>
    <col min="14850" max="14850" width="14.140625" style="22" bestFit="1" customWidth="1"/>
    <col min="14851" max="14851" width="15.7109375" style="22" bestFit="1" customWidth="1"/>
    <col min="14852" max="14852" width="10.85546875" style="22" bestFit="1" customWidth="1"/>
    <col min="14853" max="14853" width="7.7109375" style="22" bestFit="1" customWidth="1"/>
    <col min="14854" max="14854" width="13.28515625" style="22" bestFit="1" customWidth="1"/>
    <col min="14855" max="14855" width="17.28515625" style="22" bestFit="1" customWidth="1"/>
    <col min="14856" max="14858" width="8.85546875" style="22" bestFit="1" customWidth="1"/>
    <col min="14859" max="14861" width="8.7109375" style="22" bestFit="1" customWidth="1"/>
    <col min="14862" max="14862" width="16.140625" style="22" bestFit="1" customWidth="1"/>
    <col min="14863" max="15103" width="9.140625" style="22"/>
    <col min="15104" max="15104" width="5.85546875" style="22" bestFit="1" customWidth="1"/>
    <col min="15105" max="15105" width="11" style="22" bestFit="1" customWidth="1"/>
    <col min="15106" max="15106" width="14.140625" style="22" bestFit="1" customWidth="1"/>
    <col min="15107" max="15107" width="15.7109375" style="22" bestFit="1" customWidth="1"/>
    <col min="15108" max="15108" width="10.85546875" style="22" bestFit="1" customWidth="1"/>
    <col min="15109" max="15109" width="7.7109375" style="22" bestFit="1" customWidth="1"/>
    <col min="15110" max="15110" width="13.28515625" style="22" bestFit="1" customWidth="1"/>
    <col min="15111" max="15111" width="17.28515625" style="22" bestFit="1" customWidth="1"/>
    <col min="15112" max="15114" width="8.85546875" style="22" bestFit="1" customWidth="1"/>
    <col min="15115" max="15117" width="8.7109375" style="22" bestFit="1" customWidth="1"/>
    <col min="15118" max="15118" width="16.140625" style="22" bestFit="1" customWidth="1"/>
    <col min="15119" max="15359" width="9.140625" style="22"/>
    <col min="15360" max="15360" width="5.85546875" style="22" bestFit="1" customWidth="1"/>
    <col min="15361" max="15361" width="11" style="22" bestFit="1" customWidth="1"/>
    <col min="15362" max="15362" width="14.140625" style="22" bestFit="1" customWidth="1"/>
    <col min="15363" max="15363" width="15.7109375" style="22" bestFit="1" customWidth="1"/>
    <col min="15364" max="15364" width="10.85546875" style="22" bestFit="1" customWidth="1"/>
    <col min="15365" max="15365" width="7.7109375" style="22" bestFit="1" customWidth="1"/>
    <col min="15366" max="15366" width="13.28515625" style="22" bestFit="1" customWidth="1"/>
    <col min="15367" max="15367" width="17.28515625" style="22" bestFit="1" customWidth="1"/>
    <col min="15368" max="15370" width="8.85546875" style="22" bestFit="1" customWidth="1"/>
    <col min="15371" max="15373" width="8.7109375" style="22" bestFit="1" customWidth="1"/>
    <col min="15374" max="15374" width="16.140625" style="22" bestFit="1" customWidth="1"/>
    <col min="15375" max="15615" width="9.140625" style="22"/>
    <col min="15616" max="15616" width="5.85546875" style="22" bestFit="1" customWidth="1"/>
    <col min="15617" max="15617" width="11" style="22" bestFit="1" customWidth="1"/>
    <col min="15618" max="15618" width="14.140625" style="22" bestFit="1" customWidth="1"/>
    <col min="15619" max="15619" width="15.7109375" style="22" bestFit="1" customWidth="1"/>
    <col min="15620" max="15620" width="10.85546875" style="22" bestFit="1" customWidth="1"/>
    <col min="15621" max="15621" width="7.7109375" style="22" bestFit="1" customWidth="1"/>
    <col min="15622" max="15622" width="13.28515625" style="22" bestFit="1" customWidth="1"/>
    <col min="15623" max="15623" width="17.28515625" style="22" bestFit="1" customWidth="1"/>
    <col min="15624" max="15626" width="8.85546875" style="22" bestFit="1" customWidth="1"/>
    <col min="15627" max="15629" width="8.7109375" style="22" bestFit="1" customWidth="1"/>
    <col min="15630" max="15630" width="16.140625" style="22" bestFit="1" customWidth="1"/>
    <col min="15631" max="15871" width="9.140625" style="22"/>
    <col min="15872" max="15872" width="5.85546875" style="22" bestFit="1" customWidth="1"/>
    <col min="15873" max="15873" width="11" style="22" bestFit="1" customWidth="1"/>
    <col min="15874" max="15874" width="14.140625" style="22" bestFit="1" customWidth="1"/>
    <col min="15875" max="15875" width="15.7109375" style="22" bestFit="1" customWidth="1"/>
    <col min="15876" max="15876" width="10.85546875" style="22" bestFit="1" customWidth="1"/>
    <col min="15877" max="15877" width="7.7109375" style="22" bestFit="1" customWidth="1"/>
    <col min="15878" max="15878" width="13.28515625" style="22" bestFit="1" customWidth="1"/>
    <col min="15879" max="15879" width="17.28515625" style="22" bestFit="1" customWidth="1"/>
    <col min="15880" max="15882" width="8.85546875" style="22" bestFit="1" customWidth="1"/>
    <col min="15883" max="15885" width="8.7109375" style="22" bestFit="1" customWidth="1"/>
    <col min="15886" max="15886" width="16.140625" style="22" bestFit="1" customWidth="1"/>
    <col min="15887" max="16127" width="9.140625" style="22"/>
    <col min="16128" max="16128" width="5.85546875" style="22" bestFit="1" customWidth="1"/>
    <col min="16129" max="16129" width="11" style="22" bestFit="1" customWidth="1"/>
    <col min="16130" max="16130" width="14.140625" style="22" bestFit="1" customWidth="1"/>
    <col min="16131" max="16131" width="15.7109375" style="22" bestFit="1" customWidth="1"/>
    <col min="16132" max="16132" width="10.85546875" style="22" bestFit="1" customWidth="1"/>
    <col min="16133" max="16133" width="7.7109375" style="22" bestFit="1" customWidth="1"/>
    <col min="16134" max="16134" width="13.28515625" style="22" bestFit="1" customWidth="1"/>
    <col min="16135" max="16135" width="17.28515625" style="22" bestFit="1" customWidth="1"/>
    <col min="16136" max="16138" width="8.85546875" style="22" bestFit="1" customWidth="1"/>
    <col min="16139" max="16141" width="8.7109375" style="22" bestFit="1" customWidth="1"/>
    <col min="16142" max="16142" width="16.140625" style="22" bestFit="1" customWidth="1"/>
    <col min="16143" max="16384" width="9.140625" style="22"/>
  </cols>
  <sheetData>
    <row r="1" spans="1:43" ht="13.5" thickBot="1" x14ac:dyDescent="0.25">
      <c r="B1" s="23"/>
      <c r="C1" s="23"/>
      <c r="D1" s="23"/>
      <c r="E1" s="23"/>
      <c r="J1" s="116" t="s">
        <v>8</v>
      </c>
      <c r="K1" s="116"/>
      <c r="L1" s="116"/>
      <c r="M1" s="116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</row>
    <row r="2" spans="1:43" ht="15.75" thickBot="1" x14ac:dyDescent="0.3">
      <c r="A2" s="25" t="s">
        <v>9</v>
      </c>
      <c r="B2" s="26" t="s">
        <v>10</v>
      </c>
      <c r="C2" s="27" t="s">
        <v>11</v>
      </c>
      <c r="D2" s="26" t="s">
        <v>12</v>
      </c>
      <c r="E2" s="26" t="s">
        <v>13</v>
      </c>
      <c r="F2" s="26" t="s">
        <v>14</v>
      </c>
      <c r="G2" s="28" t="s">
        <v>15</v>
      </c>
      <c r="H2" s="28" t="s">
        <v>16</v>
      </c>
      <c r="I2" s="29" t="s">
        <v>17</v>
      </c>
      <c r="J2" s="30" t="s">
        <v>18</v>
      </c>
      <c r="K2" s="31" t="s">
        <v>19</v>
      </c>
      <c r="L2" s="31" t="s">
        <v>20</v>
      </c>
      <c r="M2" s="31" t="s">
        <v>21</v>
      </c>
      <c r="N2" s="24"/>
      <c r="O2" s="81" t="s">
        <v>32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</row>
    <row r="3" spans="1:43" x14ac:dyDescent="0.2">
      <c r="A3" s="32"/>
      <c r="B3" s="33">
        <f ca="1">DATOS!B1</f>
        <v>43986</v>
      </c>
      <c r="C3" s="34"/>
      <c r="D3" s="35"/>
      <c r="E3" s="24">
        <v>1</v>
      </c>
      <c r="F3" s="24"/>
      <c r="G3" s="24">
        <f t="shared" ref="G3:G23" si="0">EXP(-DI*timeCDS)</f>
        <v>1</v>
      </c>
      <c r="H3" s="24"/>
      <c r="I3" s="36"/>
      <c r="J3" s="37"/>
      <c r="K3" s="38"/>
      <c r="L3" s="38"/>
      <c r="M3" s="38" t="str">
        <f ca="1">IF(DAY(date)=31,coupon1*100/2,"")</f>
        <v/>
      </c>
      <c r="N3" s="24"/>
      <c r="O3" s="80">
        <f t="shared" ref="O3:O23" si="1">1-G3</f>
        <v>0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</row>
    <row r="4" spans="1:43" x14ac:dyDescent="0.2">
      <c r="A4" s="32"/>
      <c r="B4" s="33">
        <f ca="1">EDATE(B3,3)</f>
        <v>44078</v>
      </c>
      <c r="C4" s="83">
        <f ca="1">(B4-TODAY())/365</f>
        <v>0.25205479452054796</v>
      </c>
      <c r="D4" s="39">
        <f>+Intensity1</f>
        <v>9.323272387363633E-3</v>
      </c>
      <c r="E4" s="34">
        <v>0.99967780446140075</v>
      </c>
      <c r="F4" s="34">
        <f ca="1">C4-C3</f>
        <v>0.25205479452054796</v>
      </c>
      <c r="G4" s="24">
        <f t="shared" ca="1" si="0"/>
        <v>0.99765278352494158</v>
      </c>
      <c r="H4" s="24">
        <f ca="1">+G3-G4</f>
        <v>2.3472164750584223E-3</v>
      </c>
      <c r="I4" s="40">
        <f t="shared" ref="I4:I23" ca="1" si="2">(E4-E3)/(B4-B3)</f>
        <v>-3.5021254195570206E-6</v>
      </c>
      <c r="J4" s="40">
        <v>1</v>
      </c>
      <c r="K4" s="41">
        <v>1</v>
      </c>
      <c r="L4" s="41">
        <v>1</v>
      </c>
      <c r="M4" s="41">
        <v>1</v>
      </c>
      <c r="N4" s="24"/>
      <c r="O4" s="80">
        <f t="shared" ca="1" si="1"/>
        <v>2.3472164750584223E-3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</row>
    <row r="5" spans="1:43" x14ac:dyDescent="0.2">
      <c r="A5" s="32"/>
      <c r="B5" s="33">
        <f ca="1">EDATE(B4,3)</f>
        <v>44169</v>
      </c>
      <c r="C5" s="83">
        <f t="shared" ref="C5:C23" ca="1" si="3">(B5-TODAY())/365</f>
        <v>0.50136986301369868</v>
      </c>
      <c r="D5" s="39">
        <f>+Intensity1</f>
        <v>9.323272387363633E-3</v>
      </c>
      <c r="E5" s="34">
        <v>0.99922937207821638</v>
      </c>
      <c r="F5" s="34">
        <f t="shared" ref="F5:F16" ca="1" si="4">C5-C4</f>
        <v>0.24931506849315072</v>
      </c>
      <c r="G5" s="24">
        <f t="shared" ca="1" si="0"/>
        <v>0.99533650024161735</v>
      </c>
      <c r="H5" s="24">
        <f t="shared" ref="H5:H23" ca="1" si="5">+G4-G5</f>
        <v>2.3162832833242275E-3</v>
      </c>
      <c r="I5" s="40">
        <f t="shared" ca="1" si="2"/>
        <v>-4.9278283866414478E-6</v>
      </c>
      <c r="J5" s="40">
        <v>1</v>
      </c>
      <c r="K5" s="41">
        <v>1</v>
      </c>
      <c r="L5" s="41">
        <v>1</v>
      </c>
      <c r="M5" s="41">
        <v>1</v>
      </c>
      <c r="N5" s="24"/>
      <c r="O5" s="80">
        <f t="shared" ca="1" si="1"/>
        <v>4.6634997583826499E-3</v>
      </c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</row>
    <row r="6" spans="1:43" x14ac:dyDescent="0.2">
      <c r="A6" s="32"/>
      <c r="B6" s="33">
        <f t="shared" ref="B6:B23" ca="1" si="6">EDATE(B5,3)</f>
        <v>44259</v>
      </c>
      <c r="C6" s="83">
        <f t="shared" ca="1" si="3"/>
        <v>0.74794520547945209</v>
      </c>
      <c r="D6" s="39">
        <f>+Intensity1</f>
        <v>9.323272387363633E-3</v>
      </c>
      <c r="E6" s="34">
        <v>0.99865912810394786</v>
      </c>
      <c r="F6" s="34">
        <f t="shared" ca="1" si="4"/>
        <v>0.24657534246575341</v>
      </c>
      <c r="G6" s="24">
        <f t="shared" ca="1" si="0"/>
        <v>0.99305096013664507</v>
      </c>
      <c r="H6" s="24">
        <f t="shared" ca="1" si="5"/>
        <v>2.2855401049722834E-3</v>
      </c>
      <c r="I6" s="40">
        <f t="shared" ca="1" si="2"/>
        <v>-6.3360441585391673E-6</v>
      </c>
      <c r="J6" s="40">
        <v>1</v>
      </c>
      <c r="K6" s="41">
        <v>1</v>
      </c>
      <c r="L6" s="41">
        <v>1</v>
      </c>
      <c r="M6" s="41">
        <v>1</v>
      </c>
      <c r="N6" s="24"/>
      <c r="O6" s="80">
        <f t="shared" ca="1" si="1"/>
        <v>6.9490398633549333E-3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</row>
    <row r="7" spans="1:43" x14ac:dyDescent="0.2">
      <c r="A7" s="32">
        <v>1</v>
      </c>
      <c r="B7" s="33">
        <f t="shared" ca="1" si="6"/>
        <v>44351</v>
      </c>
      <c r="C7" s="83">
        <f t="shared" ca="1" si="3"/>
        <v>1</v>
      </c>
      <c r="D7" s="42">
        <v>9.323272387363633E-3</v>
      </c>
      <c r="E7" s="34">
        <v>0.99747198106359514</v>
      </c>
      <c r="F7" s="34">
        <f t="shared" ca="1" si="4"/>
        <v>0.25205479452054791</v>
      </c>
      <c r="G7" s="24">
        <f ca="1">EXP(-DI*timeCDS)</f>
        <v>0.99072005456243972</v>
      </c>
      <c r="H7" s="24">
        <f t="shared" ca="1" si="5"/>
        <v>2.3309055742053442E-3</v>
      </c>
      <c r="I7" s="40">
        <f t="shared" ca="1" si="2"/>
        <v>-1.2903772177746964E-5</v>
      </c>
      <c r="J7" s="40">
        <v>1</v>
      </c>
      <c r="K7" s="41">
        <v>1</v>
      </c>
      <c r="L7" s="41">
        <v>1</v>
      </c>
      <c r="M7" s="41">
        <v>1</v>
      </c>
      <c r="N7" s="24"/>
      <c r="O7" s="80">
        <f t="shared" ca="1" si="1"/>
        <v>9.2799454375602775E-3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</row>
    <row r="8" spans="1:43" x14ac:dyDescent="0.2">
      <c r="A8" s="32"/>
      <c r="B8" s="33">
        <f t="shared" ca="1" si="6"/>
        <v>44443</v>
      </c>
      <c r="C8" s="83">
        <f t="shared" ca="1" si="3"/>
        <v>1.252054794520548</v>
      </c>
      <c r="D8" s="39">
        <f>+Intensity2</f>
        <v>1.3330407356997019E-2</v>
      </c>
      <c r="E8" s="34">
        <v>0.99715146869740889</v>
      </c>
      <c r="F8" s="34">
        <f t="shared" ca="1" si="4"/>
        <v>0.25205479452054802</v>
      </c>
      <c r="G8" s="24">
        <f t="shared" ca="1" si="0"/>
        <v>0.98344811260587139</v>
      </c>
      <c r="H8" s="24">
        <f t="shared" ca="1" si="5"/>
        <v>7.2719419565683285E-3</v>
      </c>
      <c r="I8" s="40">
        <f t="shared" ca="1" si="2"/>
        <v>-3.4838300672417719E-6</v>
      </c>
      <c r="J8" s="40"/>
      <c r="K8" s="41">
        <v>1</v>
      </c>
      <c r="L8" s="41">
        <v>1</v>
      </c>
      <c r="M8" s="41">
        <v>1</v>
      </c>
      <c r="N8" s="24"/>
      <c r="O8" s="80">
        <f t="shared" ca="1" si="1"/>
        <v>1.6551887394128606E-2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</row>
    <row r="9" spans="1:43" x14ac:dyDescent="0.2">
      <c r="A9" s="32"/>
      <c r="B9" s="33">
        <f t="shared" ca="1" si="6"/>
        <v>44534</v>
      </c>
      <c r="C9" s="83">
        <f t="shared" ca="1" si="3"/>
        <v>1.5013698630136987</v>
      </c>
      <c r="D9" s="39">
        <f>+Intensity2</f>
        <v>1.3330407356997019E-2</v>
      </c>
      <c r="E9" s="34">
        <v>0.99619530830130387</v>
      </c>
      <c r="F9" s="34">
        <f t="shared" ca="1" si="4"/>
        <v>0.24931506849315066</v>
      </c>
      <c r="G9" s="24">
        <f t="shared" ca="1" si="0"/>
        <v>0.98018507621495266</v>
      </c>
      <c r="H9" s="24">
        <f t="shared" ca="1" si="5"/>
        <v>3.2630363909187388E-3</v>
      </c>
      <c r="I9" s="40">
        <f t="shared" ca="1" si="2"/>
        <v>-1.050725710005518E-5</v>
      </c>
      <c r="J9" s="40"/>
      <c r="K9" s="41">
        <v>1</v>
      </c>
      <c r="L9" s="41">
        <v>1</v>
      </c>
      <c r="M9" s="41">
        <v>1</v>
      </c>
      <c r="N9" s="24"/>
      <c r="O9" s="80">
        <f t="shared" ca="1" si="1"/>
        <v>1.9814923785047345E-2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</row>
    <row r="10" spans="1:43" x14ac:dyDescent="0.2">
      <c r="A10" s="43"/>
      <c r="B10" s="33">
        <f t="shared" ca="1" si="6"/>
        <v>44624</v>
      </c>
      <c r="C10" s="83">
        <f t="shared" ca="1" si="3"/>
        <v>1.747945205479452</v>
      </c>
      <c r="D10" s="39">
        <f>+Intensity2</f>
        <v>1.3330407356997019E-2</v>
      </c>
      <c r="E10" s="34">
        <v>0.99512419768622229</v>
      </c>
      <c r="F10" s="34">
        <f t="shared" ca="1" si="4"/>
        <v>0.2465753424657533</v>
      </c>
      <c r="G10" s="24">
        <f t="shared" ca="1" si="0"/>
        <v>0.97696854629673724</v>
      </c>
      <c r="H10" s="24">
        <f t="shared" ca="1" si="5"/>
        <v>3.2165299182154161E-3</v>
      </c>
      <c r="I10" s="40">
        <f t="shared" ca="1" si="2"/>
        <v>-1.1901229056462034E-5</v>
      </c>
      <c r="J10" s="40"/>
      <c r="K10" s="41">
        <v>1</v>
      </c>
      <c r="L10" s="41">
        <v>1</v>
      </c>
      <c r="M10" s="41">
        <v>1</v>
      </c>
      <c r="N10" s="24"/>
      <c r="O10" s="80">
        <f t="shared" ca="1" si="1"/>
        <v>2.3031453703262761E-2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</row>
    <row r="11" spans="1:43" x14ac:dyDescent="0.2">
      <c r="A11" s="32">
        <v>2</v>
      </c>
      <c r="B11" s="33">
        <f t="shared" ca="1" si="6"/>
        <v>44716</v>
      </c>
      <c r="C11" s="83">
        <f t="shared" ca="1" si="3"/>
        <v>2</v>
      </c>
      <c r="D11" s="42">
        <v>1.3330407356997019E-2</v>
      </c>
      <c r="E11" s="34">
        <v>0.99394268989228385</v>
      </c>
      <c r="F11" s="34">
        <f t="shared" ca="1" si="4"/>
        <v>0.25205479452054802</v>
      </c>
      <c r="G11" s="24">
        <f t="shared" ca="1" si="0"/>
        <v>0.97369144733274038</v>
      </c>
      <c r="H11" s="24">
        <f t="shared" ca="1" si="5"/>
        <v>3.2770989639968606E-3</v>
      </c>
      <c r="I11" s="40">
        <f t="shared" ca="1" si="2"/>
        <v>-1.2842476021070011E-5</v>
      </c>
      <c r="J11" s="40"/>
      <c r="K11" s="41">
        <v>1</v>
      </c>
      <c r="L11" s="41">
        <v>1</v>
      </c>
      <c r="M11" s="41">
        <v>1</v>
      </c>
      <c r="N11" s="24"/>
      <c r="O11" s="80">
        <f t="shared" ca="1" si="1"/>
        <v>2.6308552667259621E-2</v>
      </c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</row>
    <row r="12" spans="1:43" x14ac:dyDescent="0.2">
      <c r="A12" s="32"/>
      <c r="B12" s="33">
        <f t="shared" ca="1" si="6"/>
        <v>44808</v>
      </c>
      <c r="C12" s="83">
        <f t="shared" ca="1" si="3"/>
        <v>2.2520547945205478</v>
      </c>
      <c r="D12" s="39">
        <f>+Intensity3</f>
        <v>1.7074441158463675E-2</v>
      </c>
      <c r="E12" s="34">
        <v>0.99260985662860135</v>
      </c>
      <c r="F12" s="34">
        <f t="shared" ca="1" si="4"/>
        <v>0.2520547945205478</v>
      </c>
      <c r="G12" s="24">
        <f t="shared" ca="1" si="0"/>
        <v>0.96227733766410961</v>
      </c>
      <c r="H12" s="24">
        <f t="shared" ca="1" si="5"/>
        <v>1.1414109668630767E-2</v>
      </c>
      <c r="I12" s="40">
        <f t="shared" ca="1" si="2"/>
        <v>-1.4487318083505413E-5</v>
      </c>
      <c r="J12" s="40"/>
      <c r="K12" s="41"/>
      <c r="L12" s="41">
        <v>1</v>
      </c>
      <c r="M12" s="41">
        <v>1</v>
      </c>
      <c r="N12" s="24"/>
      <c r="O12" s="80">
        <f t="shared" ca="1" si="1"/>
        <v>3.7722662335890389E-2</v>
      </c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</row>
    <row r="13" spans="1:43" x14ac:dyDescent="0.2">
      <c r="A13" s="32"/>
      <c r="B13" s="33">
        <f t="shared" ca="1" si="6"/>
        <v>44899</v>
      </c>
      <c r="C13" s="83">
        <f t="shared" ca="1" si="3"/>
        <v>2.5013698630136987</v>
      </c>
      <c r="D13" s="39">
        <f>+Intensity3</f>
        <v>1.7074441158463675E-2</v>
      </c>
      <c r="E13" s="34">
        <v>0.99115113652757114</v>
      </c>
      <c r="F13" s="34">
        <f t="shared" ca="1" si="4"/>
        <v>0.24931506849315088</v>
      </c>
      <c r="G13" s="24">
        <f t="shared" ca="1" si="0"/>
        <v>0.95818971089552984</v>
      </c>
      <c r="H13" s="24">
        <f t="shared" ca="1" si="5"/>
        <v>4.0876267685797663E-3</v>
      </c>
      <c r="I13" s="40">
        <f t="shared" ca="1" si="2"/>
        <v>-1.6029891220112183E-5</v>
      </c>
      <c r="J13" s="40"/>
      <c r="K13" s="41"/>
      <c r="L13" s="41">
        <v>1</v>
      </c>
      <c r="M13" s="41">
        <v>1</v>
      </c>
      <c r="N13" s="24"/>
      <c r="O13" s="80">
        <f t="shared" ca="1" si="1"/>
        <v>4.1810289104470155E-2</v>
      </c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</row>
    <row r="14" spans="1:43" x14ac:dyDescent="0.2">
      <c r="A14" s="32"/>
      <c r="B14" s="33">
        <f t="shared" ca="1" si="6"/>
        <v>44989</v>
      </c>
      <c r="C14" s="83">
        <f t="shared" ca="1" si="3"/>
        <v>2.7479452054794522</v>
      </c>
      <c r="D14" s="39">
        <f>+Intensity3</f>
        <v>1.7074441158463675E-2</v>
      </c>
      <c r="E14" s="34">
        <v>0.98958502681104976</v>
      </c>
      <c r="F14" s="34">
        <f t="shared" ca="1" si="4"/>
        <v>0.24657534246575352</v>
      </c>
      <c r="G14" s="24">
        <f t="shared" ca="1" si="0"/>
        <v>0.95416408189956459</v>
      </c>
      <c r="H14" s="24">
        <f t="shared" ca="1" si="5"/>
        <v>4.025628995965258E-3</v>
      </c>
      <c r="I14" s="40">
        <f t="shared" ca="1" si="2"/>
        <v>-1.7401219072459776E-5</v>
      </c>
      <c r="J14" s="40"/>
      <c r="K14" s="41"/>
      <c r="L14" s="41">
        <v>1</v>
      </c>
      <c r="M14" s="41">
        <v>1</v>
      </c>
      <c r="N14" s="24"/>
      <c r="O14" s="80">
        <f t="shared" ca="1" si="1"/>
        <v>4.5835918100435413E-2</v>
      </c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</row>
    <row r="15" spans="1:43" x14ac:dyDescent="0.2">
      <c r="A15" s="32">
        <v>3</v>
      </c>
      <c r="B15" s="33">
        <f t="shared" ca="1" si="6"/>
        <v>45081</v>
      </c>
      <c r="C15" s="83">
        <f t="shared" ca="1" si="3"/>
        <v>3</v>
      </c>
      <c r="D15" s="42">
        <v>1.7074441158463675E-2</v>
      </c>
      <c r="E15" s="34">
        <v>0.98791619209313375</v>
      </c>
      <c r="F15" s="34">
        <f t="shared" ca="1" si="4"/>
        <v>0.2520547945205478</v>
      </c>
      <c r="G15" s="24">
        <f t="shared" ca="1" si="0"/>
        <v>0.95006647469217187</v>
      </c>
      <c r="H15" s="24">
        <f t="shared" ca="1" si="5"/>
        <v>4.0976072073927172E-3</v>
      </c>
      <c r="I15" s="40">
        <f t="shared" ca="1" si="2"/>
        <v>-1.8139507803434915E-5</v>
      </c>
      <c r="J15" s="40"/>
      <c r="K15" s="41"/>
      <c r="L15" s="41">
        <v>1</v>
      </c>
      <c r="M15" s="41">
        <v>1</v>
      </c>
      <c r="N15" s="24"/>
      <c r="O15" s="80">
        <f t="shared" ca="1" si="1"/>
        <v>4.993352530782813E-2</v>
      </c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</row>
    <row r="16" spans="1:43" x14ac:dyDescent="0.2">
      <c r="A16" s="32"/>
      <c r="B16" s="33">
        <f t="shared" ca="1" si="6"/>
        <v>45173</v>
      </c>
      <c r="C16" s="83">
        <f t="shared" ca="1" si="3"/>
        <v>3.2520547945205478</v>
      </c>
      <c r="D16" s="39">
        <f t="shared" ref="D16:D22" si="7">+Intensity4</f>
        <v>1.9371136957246123E-2</v>
      </c>
      <c r="E16" s="34">
        <v>0.98649712173786031</v>
      </c>
      <c r="F16" s="34">
        <f t="shared" ca="1" si="4"/>
        <v>0.2520547945205478</v>
      </c>
      <c r="G16" s="24">
        <f t="shared" ca="1" si="0"/>
        <v>0.93894723058119545</v>
      </c>
      <c r="H16" s="24">
        <f t="shared" ca="1" si="5"/>
        <v>1.1119244110976423E-2</v>
      </c>
      <c r="I16" s="40">
        <f t="shared" ca="1" si="2"/>
        <v>-1.5424677774711348E-5</v>
      </c>
      <c r="J16" s="40"/>
      <c r="K16" s="41"/>
      <c r="L16" s="41"/>
      <c r="M16" s="41">
        <v>1</v>
      </c>
      <c r="N16" s="24"/>
      <c r="O16" s="80">
        <f t="shared" ca="1" si="1"/>
        <v>6.1052769418804553E-2</v>
      </c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</row>
    <row r="17" spans="1:57" x14ac:dyDescent="0.2">
      <c r="A17" s="32"/>
      <c r="B17" s="33">
        <f t="shared" ca="1" si="6"/>
        <v>45264</v>
      </c>
      <c r="C17" s="83">
        <f t="shared" ca="1" si="3"/>
        <v>3.5013698630136987</v>
      </c>
      <c r="D17" s="39">
        <f t="shared" si="7"/>
        <v>1.9371136957246123E-2</v>
      </c>
      <c r="E17" s="34">
        <v>0.98501662194380957</v>
      </c>
      <c r="F17" s="34">
        <f ca="1">C17-C16</f>
        <v>0.24931506849315088</v>
      </c>
      <c r="G17" s="24">
        <f t="shared" ca="1" si="0"/>
        <v>0.93442350209427338</v>
      </c>
      <c r="H17" s="24">
        <f t="shared" ca="1" si="5"/>
        <v>4.5237284869220629E-3</v>
      </c>
      <c r="I17" s="40">
        <f t="shared" ca="1" si="2"/>
        <v>-1.6269228506052065E-5</v>
      </c>
      <c r="J17" s="40"/>
      <c r="K17" s="41"/>
      <c r="L17" s="41"/>
      <c r="M17" s="41">
        <v>1</v>
      </c>
      <c r="N17" s="24"/>
      <c r="O17" s="80">
        <f t="shared" ca="1" si="1"/>
        <v>6.5576497905726616E-2</v>
      </c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</row>
    <row r="18" spans="1:57" x14ac:dyDescent="0.2">
      <c r="A18" s="32"/>
      <c r="B18" s="33">
        <f t="shared" ca="1" si="6"/>
        <v>45355</v>
      </c>
      <c r="C18" s="83">
        <f t="shared" ca="1" si="3"/>
        <v>3.7506849315068491</v>
      </c>
      <c r="D18" s="39">
        <f t="shared" si="7"/>
        <v>1.9371136957246123E-2</v>
      </c>
      <c r="E18" s="34">
        <v>0.98349207197700272</v>
      </c>
      <c r="F18" s="34">
        <f t="shared" ref="F18:F23" ca="1" si="8">C18-C17</f>
        <v>0.24931506849315044</v>
      </c>
      <c r="G18" s="24">
        <f t="shared" ca="1" si="0"/>
        <v>0.92992156835657358</v>
      </c>
      <c r="H18" s="24">
        <f t="shared" ca="1" si="5"/>
        <v>4.5019337376998037E-3</v>
      </c>
      <c r="I18" s="40">
        <f t="shared" ca="1" si="2"/>
        <v>-1.6753296338536735E-5</v>
      </c>
      <c r="J18" s="40"/>
      <c r="K18" s="41"/>
      <c r="L18" s="41"/>
      <c r="M18" s="41">
        <v>1</v>
      </c>
      <c r="N18" s="24"/>
      <c r="O18" s="80">
        <f t="shared" ca="1" si="1"/>
        <v>7.007843164342642E-2</v>
      </c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</row>
    <row r="19" spans="1:57" x14ac:dyDescent="0.2">
      <c r="A19" s="32"/>
      <c r="B19" s="33">
        <f t="shared" ca="1" si="6"/>
        <v>45447</v>
      </c>
      <c r="C19" s="83">
        <f t="shared" ca="1" si="3"/>
        <v>4.0027397260273974</v>
      </c>
      <c r="D19" s="39">
        <f t="shared" si="7"/>
        <v>1.9371136957246123E-2</v>
      </c>
      <c r="E19" s="34">
        <v>0.98190800532209488</v>
      </c>
      <c r="F19" s="34">
        <f t="shared" ca="1" si="8"/>
        <v>0.25205479452054824</v>
      </c>
      <c r="G19" s="24">
        <f t="shared" ca="1" si="0"/>
        <v>0.9253922110077486</v>
      </c>
      <c r="H19" s="24">
        <f t="shared" ca="1" si="5"/>
        <v>4.5293573488249805E-3</v>
      </c>
      <c r="I19" s="40">
        <f t="shared" ca="1" si="2"/>
        <v>-1.7218115814215711E-5</v>
      </c>
      <c r="J19" s="40"/>
      <c r="K19" s="41"/>
      <c r="L19" s="41"/>
      <c r="M19" s="41">
        <v>1</v>
      </c>
      <c r="N19" s="24"/>
      <c r="O19" s="80">
        <f t="shared" ca="1" si="1"/>
        <v>7.46077889922514E-2</v>
      </c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</row>
    <row r="20" spans="1:57" x14ac:dyDescent="0.2">
      <c r="A20" s="32"/>
      <c r="B20" s="33">
        <f t="shared" ca="1" si="6"/>
        <v>45539</v>
      </c>
      <c r="C20" s="83">
        <f t="shared" ca="1" si="3"/>
        <v>4.2547945205479456</v>
      </c>
      <c r="D20" s="39">
        <f t="shared" si="7"/>
        <v>1.9371136957246123E-2</v>
      </c>
      <c r="E20" s="34">
        <v>0.98024634315113268</v>
      </c>
      <c r="F20" s="34">
        <f t="shared" ca="1" si="8"/>
        <v>0.25205479452054824</v>
      </c>
      <c r="G20" s="24">
        <f t="shared" ca="1" si="0"/>
        <v>0.92088491474309597</v>
      </c>
      <c r="H20" s="24">
        <f t="shared" ca="1" si="5"/>
        <v>4.5072962646526271E-3</v>
      </c>
      <c r="I20" s="40">
        <f t="shared" ca="1" si="2"/>
        <v>-1.806154533654562E-5</v>
      </c>
      <c r="J20" s="40"/>
      <c r="K20" s="41"/>
      <c r="L20" s="41"/>
      <c r="M20" s="41">
        <v>1</v>
      </c>
      <c r="N20" s="24"/>
      <c r="O20" s="80">
        <f t="shared" ca="1" si="1"/>
        <v>7.9115085256904027E-2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O20" s="24"/>
      <c r="AP20" s="24"/>
      <c r="AQ20" s="24"/>
    </row>
    <row r="21" spans="1:57" x14ac:dyDescent="0.2">
      <c r="A21" s="32"/>
      <c r="B21" s="33">
        <f t="shared" ca="1" si="6"/>
        <v>45630</v>
      </c>
      <c r="C21" s="83">
        <f t="shared" ca="1" si="3"/>
        <v>4.5041095890410956</v>
      </c>
      <c r="D21" s="39">
        <f t="shared" si="7"/>
        <v>1.9371136957246123E-2</v>
      </c>
      <c r="E21" s="34">
        <v>0.97852449087900528</v>
      </c>
      <c r="F21" s="34">
        <f t="shared" ca="1" si="8"/>
        <v>0.24931506849314999</v>
      </c>
      <c r="G21" s="24">
        <f t="shared" ca="1" si="0"/>
        <v>0.91644820819951156</v>
      </c>
      <c r="H21" s="24">
        <f t="shared" ca="1" si="5"/>
        <v>4.4367065435844122E-3</v>
      </c>
      <c r="I21" s="40">
        <f t="shared" ca="1" si="2"/>
        <v>-1.8921453539861538E-5</v>
      </c>
      <c r="J21" s="40"/>
      <c r="K21" s="41"/>
      <c r="L21" s="41"/>
      <c r="M21" s="41">
        <v>1</v>
      </c>
      <c r="N21" s="24"/>
      <c r="O21" s="80">
        <f t="shared" ca="1" si="1"/>
        <v>8.355179180048844E-2</v>
      </c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</row>
    <row r="22" spans="1:57" x14ac:dyDescent="0.2">
      <c r="A22" s="32"/>
      <c r="B22" s="33">
        <f t="shared" ca="1" si="6"/>
        <v>45720</v>
      </c>
      <c r="C22" s="83">
        <f t="shared" ca="1" si="3"/>
        <v>4.7506849315068491</v>
      </c>
      <c r="D22" s="39">
        <f t="shared" si="7"/>
        <v>1.9371136957246123E-2</v>
      </c>
      <c r="E22" s="34">
        <v>0.97676247447769093</v>
      </c>
      <c r="F22" s="34">
        <f t="shared" ca="1" si="8"/>
        <v>0.24657534246575352</v>
      </c>
      <c r="G22" s="24">
        <f t="shared" ca="1" si="0"/>
        <v>0.91208128148034895</v>
      </c>
      <c r="H22" s="24">
        <f t="shared" ca="1" si="5"/>
        <v>4.3669267191626115E-3</v>
      </c>
      <c r="I22" s="40">
        <f t="shared" ca="1" si="2"/>
        <v>-1.9577960014603866E-5</v>
      </c>
      <c r="J22" s="40"/>
      <c r="K22" s="41"/>
      <c r="L22" s="41"/>
      <c r="M22" s="41">
        <v>1</v>
      </c>
      <c r="N22" s="24"/>
      <c r="O22" s="80">
        <f t="shared" ca="1" si="1"/>
        <v>8.7918718519651051E-2</v>
      </c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O22" s="24"/>
      <c r="AP22" s="24"/>
      <c r="AQ22" s="24"/>
    </row>
    <row r="23" spans="1:57" ht="13.5" thickBot="1" x14ac:dyDescent="0.25">
      <c r="A23" s="32">
        <v>4</v>
      </c>
      <c r="B23" s="33">
        <f t="shared" ca="1" si="6"/>
        <v>45812</v>
      </c>
      <c r="C23" s="83">
        <f t="shared" ca="1" si="3"/>
        <v>5.0027397260273974</v>
      </c>
      <c r="D23" s="44">
        <v>1.9371136957246123E-2</v>
      </c>
      <c r="E23" s="34">
        <v>0.97496255747380101</v>
      </c>
      <c r="F23" s="34">
        <f t="shared" ca="1" si="8"/>
        <v>0.25205479452054824</v>
      </c>
      <c r="G23" s="24">
        <f t="shared" ca="1" si="0"/>
        <v>0.90763881859361362</v>
      </c>
      <c r="H23" s="24">
        <f t="shared" ca="1" si="5"/>
        <v>4.4424628867353322E-3</v>
      </c>
      <c r="I23" s="40">
        <f t="shared" ca="1" si="2"/>
        <v>-1.9564315259673132E-5</v>
      </c>
      <c r="J23" s="40"/>
      <c r="K23" s="41"/>
      <c r="L23" s="41"/>
      <c r="M23" s="41">
        <v>1</v>
      </c>
      <c r="N23" s="24"/>
      <c r="O23" s="103">
        <f t="shared" ca="1" si="1"/>
        <v>9.2361181406386383E-2</v>
      </c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</row>
    <row r="24" spans="1:57" ht="13.5" thickBot="1" x14ac:dyDescent="0.25">
      <c r="A24" s="45"/>
      <c r="B24" s="46"/>
      <c r="C24" s="47"/>
      <c r="D24" s="48"/>
      <c r="E24" s="49"/>
      <c r="F24" s="50"/>
      <c r="G24" s="50"/>
      <c r="H24" s="50"/>
      <c r="I24" s="51"/>
      <c r="J24" s="40"/>
      <c r="K24" s="41"/>
      <c r="L24" s="41"/>
      <c r="M24" s="41"/>
      <c r="N24" s="24"/>
      <c r="O24" s="82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O24" s="24"/>
      <c r="AP24" s="24"/>
      <c r="AQ24" s="24"/>
    </row>
    <row r="25" spans="1:57" x14ac:dyDescent="0.2">
      <c r="A25" s="24"/>
      <c r="B25" s="24"/>
      <c r="C25" s="34"/>
      <c r="D25" s="24"/>
      <c r="E25" s="34"/>
      <c r="F25" s="24"/>
      <c r="G25" s="24"/>
      <c r="H25" s="24"/>
      <c r="I25" s="24"/>
      <c r="J25" s="52">
        <f ca="1">(1-Recovery)*SUMPRODUCT(DF,$H$3:$H$24,CFLOW1)/SUMPRODUCT(DF,$F$3:$F$24,$G$3:$G$24,CFLOW1)</f>
        <v>7.0006103885117991E-3</v>
      </c>
      <c r="K25" s="52">
        <f ca="1">(1-Recovery)*SUMPRODUCT(DF,$H$3:$H$24,CFLOW2)/SUMPRODUCT(DF,$F$3:$F$24,$G$3:$G$24,CFLOW2)</f>
        <v>9.9994277342498987E-3</v>
      </c>
      <c r="L25" s="52">
        <f ca="1">(1-Recovery)*SUMPRODUCT(DF,$H$3:$H$24,CFLOW3)/SUMPRODUCT(DF,$F$3:$F$24,$G$3:$G$24,CFLOW3)</f>
        <v>1.2775861374094257E-2</v>
      </c>
      <c r="M25" s="52">
        <f ca="1">(1-Recovery)*SUMPRODUCT(DF,$H$3:$H$24,CFLOW4)/SUMPRODUCT(DF,$F$3:$F$24,$G$3:$G$24,CFLOW4)</f>
        <v>1.4482568904649832E-2</v>
      </c>
      <c r="N25" s="53" t="s">
        <v>22</v>
      </c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</row>
    <row r="26" spans="1:57" ht="13.5" thickBot="1" x14ac:dyDescent="0.25">
      <c r="A26" s="24"/>
      <c r="B26" s="24"/>
      <c r="C26" s="34"/>
      <c r="D26" s="24"/>
      <c r="E26" s="34"/>
      <c r="F26" s="24"/>
      <c r="G26" s="24"/>
      <c r="H26" s="24"/>
      <c r="I26" s="24"/>
      <c r="J26" s="54">
        <v>8.0000000000000002E-3</v>
      </c>
      <c r="K26" s="54">
        <v>0.01</v>
      </c>
      <c r="L26" s="54">
        <v>1.2500000000000001E-2</v>
      </c>
      <c r="M26" s="54">
        <v>1.4500000000000001E-2</v>
      </c>
      <c r="N26" s="53" t="s">
        <v>23</v>
      </c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24"/>
    </row>
    <row r="27" spans="1:57" ht="13.5" thickBot="1" x14ac:dyDescent="0.25">
      <c r="A27" s="24"/>
      <c r="B27" s="24"/>
      <c r="C27" s="34"/>
      <c r="D27" s="24"/>
      <c r="E27" s="34"/>
      <c r="F27" s="24"/>
      <c r="G27" s="24"/>
      <c r="H27" s="24"/>
      <c r="I27" s="24"/>
      <c r="J27" s="55">
        <f ca="1">+J26-J25</f>
        <v>9.9938961148820105E-4</v>
      </c>
      <c r="K27" s="55">
        <f ca="1">+K26-K25</f>
        <v>5.7226575010151104E-7</v>
      </c>
      <c r="L27" s="55">
        <f ca="1">+L26-L25</f>
        <v>-2.7586137409425608E-4</v>
      </c>
      <c r="M27" s="55">
        <f ca="1">+M26-M25</f>
        <v>1.7431095350168777E-5</v>
      </c>
      <c r="N27" s="53" t="s">
        <v>24</v>
      </c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24"/>
    </row>
    <row r="28" spans="1:57" x14ac:dyDescent="0.2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56"/>
      <c r="R28" s="57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</row>
    <row r="29" spans="1:57" x14ac:dyDescent="0.2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4"/>
      <c r="AN29" s="24"/>
      <c r="AO29" s="24"/>
      <c r="AP29" s="24"/>
      <c r="AQ29" s="24"/>
      <c r="AR29" s="24"/>
    </row>
    <row r="30" spans="1:57" x14ac:dyDescent="0.2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4"/>
      <c r="AN30" s="24"/>
      <c r="AO30" s="24"/>
      <c r="AP30" s="24"/>
      <c r="AQ30" s="24"/>
      <c r="AR30" s="24"/>
    </row>
    <row r="31" spans="1:57" x14ac:dyDescent="0.2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24"/>
      <c r="AP31" s="24"/>
      <c r="AQ31" s="24"/>
      <c r="AR31" s="24"/>
    </row>
    <row r="32" spans="1:57" x14ac:dyDescent="0.2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</row>
    <row r="33" spans="1:44" x14ac:dyDescent="0.2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</row>
    <row r="34" spans="1:44" x14ac:dyDescent="0.2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</row>
    <row r="35" spans="1:44" x14ac:dyDescent="0.2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</row>
    <row r="36" spans="1:44" x14ac:dyDescent="0.2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  <c r="AL36" s="24"/>
      <c r="AM36" s="24"/>
      <c r="AN36" s="24"/>
      <c r="AO36" s="24"/>
      <c r="AP36" s="24"/>
      <c r="AQ36" s="24"/>
      <c r="AR36" s="24"/>
    </row>
    <row r="37" spans="1:44" x14ac:dyDescent="0.2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</row>
    <row r="38" spans="1:44" x14ac:dyDescent="0.2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</row>
    <row r="39" spans="1:44" x14ac:dyDescent="0.2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</row>
    <row r="40" spans="1:44" x14ac:dyDescent="0.2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</row>
    <row r="41" spans="1:44" x14ac:dyDescent="0.2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11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4"/>
      <c r="AR41" s="24"/>
    </row>
    <row r="42" spans="1:44" x14ac:dyDescent="0.2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</row>
    <row r="43" spans="1:44" x14ac:dyDescent="0.2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  <c r="AL43" s="24"/>
      <c r="AM43" s="24"/>
      <c r="AN43" s="24"/>
      <c r="AO43" s="24"/>
      <c r="AP43" s="24"/>
      <c r="AQ43" s="24"/>
      <c r="AR43" s="24"/>
    </row>
    <row r="44" spans="1:44" x14ac:dyDescent="0.2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  <c r="AL44" s="24"/>
      <c r="AM44" s="24"/>
      <c r="AN44" s="24"/>
      <c r="AO44" s="24"/>
      <c r="AP44" s="24"/>
      <c r="AQ44" s="24"/>
      <c r="AR44" s="24"/>
    </row>
    <row r="45" spans="1:44" x14ac:dyDescent="0.2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  <c r="AL45" s="24"/>
      <c r="AM45" s="24"/>
      <c r="AN45" s="24"/>
      <c r="AO45" s="24"/>
      <c r="AP45" s="24"/>
      <c r="AQ45" s="24"/>
      <c r="AR45" s="24"/>
    </row>
    <row r="46" spans="1:44" x14ac:dyDescent="0.2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  <c r="AL46" s="24"/>
      <c r="AM46" s="24"/>
      <c r="AN46" s="24"/>
      <c r="AO46" s="24"/>
      <c r="AP46" s="24"/>
      <c r="AQ46" s="24"/>
      <c r="AR46" s="24"/>
    </row>
    <row r="47" spans="1:44" x14ac:dyDescent="0.2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  <c r="AL47" s="24"/>
      <c r="AM47" s="24"/>
      <c r="AN47" s="24"/>
      <c r="AO47" s="24"/>
      <c r="AP47" s="24"/>
      <c r="AQ47" s="24"/>
      <c r="AR47" s="24"/>
    </row>
    <row r="48" spans="1:44" x14ac:dyDescent="0.2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  <c r="AL48" s="24"/>
      <c r="AM48" s="24"/>
      <c r="AN48" s="24"/>
      <c r="AO48" s="24"/>
      <c r="AP48" s="24"/>
      <c r="AQ48" s="24"/>
      <c r="AR48" s="24"/>
    </row>
    <row r="49" spans="1:44" x14ac:dyDescent="0.2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  <c r="AL49" s="24"/>
      <c r="AM49" s="24"/>
      <c r="AN49" s="24"/>
      <c r="AO49" s="24"/>
      <c r="AP49" s="24"/>
      <c r="AQ49" s="24"/>
      <c r="AR49" s="24"/>
    </row>
    <row r="50" spans="1:44" x14ac:dyDescent="0.2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</row>
    <row r="51" spans="1:44" x14ac:dyDescent="0.2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  <c r="AL51" s="24"/>
      <c r="AM51" s="24"/>
      <c r="AN51" s="24"/>
      <c r="AO51" s="24"/>
      <c r="AP51" s="24"/>
      <c r="AQ51" s="24"/>
      <c r="AR51" s="24"/>
    </row>
    <row r="52" spans="1:44" x14ac:dyDescent="0.2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4"/>
      <c r="AM52" s="24"/>
      <c r="AN52" s="24"/>
      <c r="AO52" s="24"/>
      <c r="AP52" s="24"/>
      <c r="AQ52" s="24"/>
      <c r="AR52" s="24"/>
    </row>
    <row r="53" spans="1:44" x14ac:dyDescent="0.2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</row>
    <row r="54" spans="1:44" x14ac:dyDescent="0.2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4"/>
      <c r="AM54" s="24"/>
      <c r="AN54" s="24"/>
      <c r="AO54" s="24"/>
      <c r="AP54" s="24"/>
      <c r="AQ54" s="24"/>
      <c r="AR54" s="24"/>
    </row>
    <row r="55" spans="1:44" x14ac:dyDescent="0.2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4"/>
      <c r="AM55" s="24"/>
      <c r="AN55" s="24"/>
      <c r="AO55" s="24"/>
      <c r="AP55" s="24"/>
      <c r="AQ55" s="24"/>
      <c r="AR55" s="24"/>
    </row>
    <row r="56" spans="1:44" x14ac:dyDescent="0.2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  <c r="AL56" s="24"/>
      <c r="AM56" s="24"/>
      <c r="AN56" s="24"/>
      <c r="AO56" s="24"/>
      <c r="AP56" s="24"/>
      <c r="AQ56" s="24"/>
      <c r="AR56" s="24"/>
    </row>
    <row r="57" spans="1:44" x14ac:dyDescent="0.2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  <c r="AL57" s="24"/>
      <c r="AM57" s="24"/>
      <c r="AN57" s="24"/>
      <c r="AO57" s="24"/>
      <c r="AP57" s="24"/>
      <c r="AQ57" s="24"/>
      <c r="AR57" s="24"/>
    </row>
    <row r="58" spans="1:44" x14ac:dyDescent="0.2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  <c r="AL58" s="24"/>
      <c r="AM58" s="24"/>
      <c r="AN58" s="24"/>
      <c r="AO58" s="24"/>
      <c r="AP58" s="24"/>
      <c r="AQ58" s="24"/>
      <c r="AR58" s="24"/>
    </row>
    <row r="59" spans="1:44" x14ac:dyDescent="0.2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  <c r="AL59" s="24"/>
      <c r="AM59" s="24"/>
      <c r="AN59" s="24"/>
      <c r="AO59" s="24"/>
      <c r="AP59" s="24"/>
      <c r="AQ59" s="24"/>
      <c r="AR59" s="24"/>
    </row>
    <row r="60" spans="1:44" x14ac:dyDescent="0.2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  <c r="AL60" s="24"/>
      <c r="AM60" s="24"/>
      <c r="AN60" s="24"/>
      <c r="AO60" s="24"/>
      <c r="AP60" s="24"/>
      <c r="AQ60" s="24"/>
      <c r="AR60" s="24"/>
    </row>
    <row r="61" spans="1:44" x14ac:dyDescent="0.2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  <c r="AL61" s="24"/>
      <c r="AM61" s="24"/>
      <c r="AN61" s="24"/>
      <c r="AO61" s="24"/>
      <c r="AP61" s="24"/>
      <c r="AQ61" s="24"/>
      <c r="AR61" s="24"/>
    </row>
    <row r="62" spans="1:44" x14ac:dyDescent="0.2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  <c r="AL62" s="24"/>
      <c r="AM62" s="24"/>
      <c r="AN62" s="24"/>
      <c r="AO62" s="24"/>
      <c r="AP62" s="24"/>
      <c r="AQ62" s="24"/>
      <c r="AR62" s="24"/>
    </row>
    <row r="63" spans="1:44" x14ac:dyDescent="0.2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  <c r="AL63" s="24"/>
      <c r="AM63" s="24"/>
      <c r="AN63" s="24"/>
      <c r="AO63" s="24"/>
      <c r="AP63" s="24"/>
      <c r="AQ63" s="24"/>
      <c r="AR63" s="24"/>
    </row>
    <row r="64" spans="1:44" x14ac:dyDescent="0.2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  <c r="AL64" s="24"/>
      <c r="AM64" s="24"/>
      <c r="AN64" s="24"/>
      <c r="AO64" s="24"/>
      <c r="AP64" s="24"/>
      <c r="AQ64" s="24"/>
      <c r="AR64" s="24"/>
    </row>
    <row r="65" spans="1:44" x14ac:dyDescent="0.2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  <c r="AL65" s="24"/>
      <c r="AM65" s="24"/>
      <c r="AN65" s="24"/>
      <c r="AO65" s="24"/>
      <c r="AP65" s="24"/>
      <c r="AQ65" s="24"/>
      <c r="AR65" s="24"/>
    </row>
    <row r="66" spans="1:44" x14ac:dyDescent="0.2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</row>
    <row r="67" spans="1:44" x14ac:dyDescent="0.2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  <c r="AL67" s="24"/>
      <c r="AM67" s="24"/>
      <c r="AN67" s="24"/>
      <c r="AO67" s="24"/>
      <c r="AP67" s="24"/>
      <c r="AQ67" s="24"/>
      <c r="AR67" s="24"/>
    </row>
    <row r="68" spans="1:44" x14ac:dyDescent="0.2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  <c r="AL68" s="24"/>
      <c r="AM68" s="24"/>
      <c r="AN68" s="24"/>
      <c r="AO68" s="24"/>
      <c r="AP68" s="24"/>
      <c r="AQ68" s="24"/>
      <c r="AR68" s="24"/>
    </row>
  </sheetData>
  <mergeCells count="1">
    <mergeCell ref="J1:M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autoLine="0" r:id="rId4">
            <anchor moveWithCells="1">
              <from>
                <xdr:col>13</xdr:col>
                <xdr:colOff>200025</xdr:colOff>
                <xdr:row>2</xdr:row>
                <xdr:rowOff>104775</xdr:rowOff>
              </from>
              <to>
                <xdr:col>13</xdr:col>
                <xdr:colOff>923925</xdr:colOff>
                <xdr:row>4</xdr:row>
                <xdr:rowOff>114300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26E5D-E101-4CCD-AB95-178AF3A0AEFE}">
  <sheetPr codeName="Sheet3"/>
  <dimension ref="A1:T48"/>
  <sheetViews>
    <sheetView zoomScale="80" zoomScaleNormal="80" workbookViewId="0">
      <selection activeCell="D25" sqref="D25"/>
    </sheetView>
  </sheetViews>
  <sheetFormatPr baseColWidth="10" defaultColWidth="9.140625" defaultRowHeight="15" x14ac:dyDescent="0.25"/>
  <cols>
    <col min="1" max="1" width="6.28515625" bestFit="1" customWidth="1"/>
    <col min="2" max="2" width="11.5703125" bestFit="1" customWidth="1"/>
    <col min="3" max="3" width="15.28515625" bestFit="1" customWidth="1"/>
    <col min="4" max="4" width="15.85546875" bestFit="1" customWidth="1"/>
    <col min="5" max="5" width="12" bestFit="1" customWidth="1"/>
    <col min="6" max="6" width="12" customWidth="1"/>
    <col min="7" max="7" width="11.42578125" customWidth="1"/>
    <col min="10" max="12" width="10.7109375" style="1" customWidth="1"/>
    <col min="13" max="18" width="9.140625" style="1"/>
  </cols>
  <sheetData>
    <row r="1" spans="1:20" ht="15.75" thickBot="1" x14ac:dyDescent="0.3">
      <c r="B1" s="58"/>
      <c r="C1" s="58"/>
      <c r="D1" s="58"/>
      <c r="E1" s="59"/>
      <c r="F1" s="58"/>
      <c r="H1" s="117" t="s">
        <v>42</v>
      </c>
      <c r="I1" s="117"/>
      <c r="J1" s="117"/>
      <c r="K1" s="117"/>
      <c r="L1" s="117"/>
      <c r="N1" s="18"/>
    </row>
    <row r="2" spans="1:20" ht="15.75" thickBot="1" x14ac:dyDescent="0.3">
      <c r="A2" s="92" t="s">
        <v>25</v>
      </c>
      <c r="B2" s="93" t="s">
        <v>26</v>
      </c>
      <c r="C2" s="94" t="s">
        <v>27</v>
      </c>
      <c r="D2" s="93" t="s">
        <v>28</v>
      </c>
      <c r="E2" s="60" t="s">
        <v>29</v>
      </c>
      <c r="F2" s="61" t="s">
        <v>30</v>
      </c>
      <c r="G2" s="6" t="s">
        <v>31</v>
      </c>
      <c r="H2" s="62">
        <v>1</v>
      </c>
      <c r="I2" s="62">
        <v>2</v>
      </c>
      <c r="J2" s="62">
        <v>8</v>
      </c>
      <c r="K2" s="62">
        <v>9</v>
      </c>
      <c r="L2" s="62">
        <v>11</v>
      </c>
      <c r="M2" s="95"/>
      <c r="N2" s="95"/>
      <c r="O2" s="95"/>
      <c r="P2" s="95"/>
      <c r="Q2" s="95"/>
      <c r="R2" s="95"/>
      <c r="S2" s="95"/>
      <c r="T2" s="95"/>
    </row>
    <row r="3" spans="1:20" x14ac:dyDescent="0.25">
      <c r="A3" s="10"/>
      <c r="B3" s="19">
        <f ca="1">+As_of_date</f>
        <v>43986</v>
      </c>
      <c r="C3" s="63">
        <f t="shared" ref="C3:C24" ca="1" si="0">(date-As_of_date)/360</f>
        <v>0</v>
      </c>
      <c r="D3" s="64">
        <f>rate1</f>
        <v>1.9999821950612653E-3</v>
      </c>
      <c r="E3" s="63">
        <v>1</v>
      </c>
      <c r="F3" s="3"/>
      <c r="G3" s="2"/>
      <c r="H3" s="65"/>
      <c r="I3" s="66"/>
      <c r="J3" s="66"/>
      <c r="K3" s="67"/>
      <c r="L3" s="66"/>
      <c r="M3" s="95"/>
      <c r="N3" s="95"/>
      <c r="O3" s="95"/>
      <c r="P3" s="95"/>
      <c r="Q3" s="95"/>
      <c r="R3" s="95"/>
      <c r="S3" s="95"/>
      <c r="T3" s="95"/>
    </row>
    <row r="4" spans="1:20" x14ac:dyDescent="0.25">
      <c r="A4" s="13">
        <v>1</v>
      </c>
      <c r="B4" s="88">
        <f ca="1">B3+1</f>
        <v>43987</v>
      </c>
      <c r="C4" s="89">
        <f t="shared" ca="1" si="0"/>
        <v>2.7777777777777779E-3</v>
      </c>
      <c r="D4" s="90">
        <v>1.9999821950612653E-3</v>
      </c>
      <c r="E4" s="86">
        <f ca="1">1/(1+D4*time)</f>
        <v>0.99999444452476605</v>
      </c>
      <c r="F4" s="68"/>
      <c r="G4" s="72">
        <f t="shared" ref="G4:G6" ca="1" si="1">(E4-E3)/(B4-B3)</f>
        <v>-5.5554752339537217E-6</v>
      </c>
      <c r="H4" s="73">
        <f ca="1">coupon1_OISUSD*100*$C4+100</f>
        <v>100.00055555555555</v>
      </c>
      <c r="I4" s="72"/>
      <c r="J4" s="72"/>
      <c r="K4" s="74"/>
      <c r="L4" s="72"/>
      <c r="M4" s="96"/>
      <c r="N4" s="95"/>
      <c r="O4" s="96"/>
      <c r="P4" s="95"/>
      <c r="Q4" s="95"/>
      <c r="R4" s="95"/>
      <c r="S4" s="95"/>
      <c r="T4" s="95"/>
    </row>
    <row r="5" spans="1:20" x14ac:dyDescent="0.25">
      <c r="A5" s="13"/>
      <c r="B5" s="85">
        <f ca="1">EDATE(B4,3)</f>
        <v>44079</v>
      </c>
      <c r="C5" s="86">
        <f t="shared" ca="1" si="0"/>
        <v>0.25833333333333336</v>
      </c>
      <c r="D5" s="87">
        <f ca="1">rate8+(rate9-rate8)/(time9-time8)*(time-time8)</f>
        <v>4.3592695728906399E-4</v>
      </c>
      <c r="E5" s="86">
        <f t="shared" ref="E5:E7" ca="1" si="2">1/(1+D5)^(C5)</f>
        <v>0.99988741641275058</v>
      </c>
      <c r="F5" s="68"/>
      <c r="G5" s="72">
        <f t="shared" ca="1" si="1"/>
        <v>-1.1633490436463203E-6</v>
      </c>
      <c r="H5" s="73"/>
      <c r="I5" s="73"/>
      <c r="J5" s="74"/>
      <c r="K5" s="74"/>
      <c r="L5" s="72"/>
      <c r="M5" s="96"/>
      <c r="N5" s="95"/>
      <c r="O5" s="95"/>
      <c r="P5" s="95"/>
      <c r="Q5" s="95"/>
      <c r="R5" s="95"/>
      <c r="S5" s="95"/>
      <c r="T5" s="95"/>
    </row>
    <row r="6" spans="1:20" x14ac:dyDescent="0.25">
      <c r="A6" s="13"/>
      <c r="B6" s="85">
        <f ca="1">EDATE(B5,3)</f>
        <v>44170</v>
      </c>
      <c r="C6" s="86">
        <f t="shared" ca="1" si="0"/>
        <v>0.51111111111111107</v>
      </c>
      <c r="D6" s="87">
        <f ca="1">rate8+(rate9-rate8)/(time9-time8)*(time-time8)</f>
        <v>5.6081445042586683E-4</v>
      </c>
      <c r="E6" s="86">
        <f t="shared" ca="1" si="2"/>
        <v>0.99971348290244888</v>
      </c>
      <c r="F6" s="68"/>
      <c r="G6" s="72">
        <f t="shared" ca="1" si="1"/>
        <v>-1.9113572560626902E-6</v>
      </c>
      <c r="H6" s="73"/>
      <c r="I6" s="73"/>
      <c r="J6" s="74"/>
      <c r="K6" s="74"/>
      <c r="L6" s="72"/>
      <c r="M6" s="96"/>
      <c r="N6" s="95"/>
      <c r="O6" s="95"/>
      <c r="P6" s="95"/>
      <c r="Q6" s="95"/>
      <c r="R6" s="95"/>
      <c r="S6" s="95"/>
      <c r="T6" s="95"/>
    </row>
    <row r="7" spans="1:20" x14ac:dyDescent="0.25">
      <c r="A7" s="13"/>
      <c r="B7" s="85">
        <f ca="1">EDATE(B6,3)</f>
        <v>44260</v>
      </c>
      <c r="C7" s="86">
        <f t="shared" ca="1" si="0"/>
        <v>0.76111111111111107</v>
      </c>
      <c r="D7" s="87">
        <f ca="1">rate8+(rate9-rate8)/(time9-time8)*(time-time8)</f>
        <v>6.843295535281992E-4</v>
      </c>
      <c r="E7" s="86">
        <f t="shared" ca="1" si="2"/>
        <v>0.99947946283519362</v>
      </c>
      <c r="F7" s="68"/>
      <c r="G7" s="72">
        <f t="shared" ref="G7:G10" ca="1" si="3">(E7-E6)/(B7-B6)</f>
        <v>-2.6002229695028706E-6</v>
      </c>
      <c r="H7" s="73"/>
      <c r="I7" s="73"/>
      <c r="J7" s="74"/>
      <c r="K7" s="74"/>
      <c r="L7" s="72"/>
      <c r="M7" s="96"/>
      <c r="N7" s="95"/>
      <c r="O7" s="95"/>
      <c r="P7" s="95"/>
      <c r="Q7" s="95"/>
      <c r="R7" s="95"/>
      <c r="S7" s="95"/>
      <c r="T7" s="95"/>
    </row>
    <row r="8" spans="1:20" x14ac:dyDescent="0.25">
      <c r="A8" s="13">
        <v>2</v>
      </c>
      <c r="B8" s="88">
        <f ca="1">EDATE(B3,12)</f>
        <v>44351</v>
      </c>
      <c r="C8" s="89">
        <f t="shared" ca="1" si="0"/>
        <v>1.0138888888888888</v>
      </c>
      <c r="D8" s="90">
        <v>1.0399707299749749E-3</v>
      </c>
      <c r="E8" s="86">
        <f t="shared" ref="E8" ca="1" si="4">1/(1+D8*time)</f>
        <v>0.99894669585155793</v>
      </c>
      <c r="F8" s="73">
        <f ca="1">+(B8-B3)/360</f>
        <v>1.0138888888888888</v>
      </c>
      <c r="G8" s="72">
        <f ca="1">(E8-E3)/(B8-B3)</f>
        <v>-2.8857647902522442E-6</v>
      </c>
      <c r="H8" s="73"/>
      <c r="I8" s="73">
        <f ca="1">coupon6_OISUSD*100*$F8+100</f>
        <v>100.10544444444444</v>
      </c>
      <c r="J8" s="74">
        <f ca="1">coupon8_OISUSD*100*$F8</f>
        <v>0.13281944444444443</v>
      </c>
      <c r="K8" s="74">
        <f ca="1">coupon9_OISUSD*100*$F8</f>
        <v>0.18351388888888887</v>
      </c>
      <c r="L8" s="72">
        <f ca="1">coupon11_OISUSD*100*$F8</f>
        <v>0.28895833333333332</v>
      </c>
      <c r="M8" s="95"/>
      <c r="N8" s="95"/>
      <c r="O8" s="95"/>
      <c r="P8" s="95"/>
      <c r="Q8" s="95"/>
      <c r="R8" s="95"/>
      <c r="S8" s="95"/>
      <c r="T8" s="95"/>
    </row>
    <row r="9" spans="1:20" x14ac:dyDescent="0.25">
      <c r="A9" s="13"/>
      <c r="B9" s="85">
        <f ca="1">EDATE(B8,3)</f>
        <v>44443</v>
      </c>
      <c r="C9" s="86">
        <f t="shared" ca="1" si="0"/>
        <v>1.2694444444444444</v>
      </c>
      <c r="D9" s="87">
        <f ca="1">rate8+(rate9-rate8)/(time9-time8)*(time-time8)</f>
        <v>9.3547692983627522E-4</v>
      </c>
      <c r="E9" s="86">
        <f t="shared" ref="E9:E11" ca="1" si="5">1/(1+D9)^(C9)</f>
        <v>0.99881372330176854</v>
      </c>
      <c r="F9" s="73"/>
      <c r="G9" s="72">
        <f t="shared" ca="1" si="3"/>
        <v>-1.4453538020585832E-6</v>
      </c>
      <c r="H9" s="73"/>
      <c r="I9" s="73"/>
      <c r="J9" s="74"/>
      <c r="K9" s="74"/>
      <c r="L9" s="72"/>
      <c r="M9" s="95"/>
      <c r="N9" s="95"/>
      <c r="O9" s="95"/>
      <c r="P9" s="95"/>
      <c r="Q9" s="95"/>
      <c r="R9" s="95"/>
      <c r="S9" s="95"/>
      <c r="T9" s="95"/>
    </row>
    <row r="10" spans="1:20" x14ac:dyDescent="0.25">
      <c r="A10" s="13"/>
      <c r="B10" s="85">
        <f ca="1">EDATE(B9,3)</f>
        <v>44534</v>
      </c>
      <c r="C10" s="86">
        <f t="shared" ca="1" si="0"/>
        <v>1.5222222222222221</v>
      </c>
      <c r="D10" s="87">
        <f ca="1">rate8+(rate9-rate8)/(time9-time8)*(time-time8)</f>
        <v>1.0603644229730778E-3</v>
      </c>
      <c r="E10" s="86">
        <f t="shared" ca="1" si="5"/>
        <v>0.9983880454763352</v>
      </c>
      <c r="F10" s="73"/>
      <c r="G10" s="72">
        <f t="shared" ca="1" si="3"/>
        <v>-4.6777783014653407E-6</v>
      </c>
      <c r="H10" s="73"/>
      <c r="I10" s="73"/>
      <c r="J10" s="74"/>
      <c r="K10" s="74"/>
      <c r="L10" s="72"/>
      <c r="M10" s="95"/>
      <c r="N10" s="95"/>
      <c r="O10" s="95"/>
      <c r="P10" s="95"/>
      <c r="Q10" s="95"/>
      <c r="R10" s="95"/>
      <c r="S10" s="95"/>
      <c r="T10" s="95"/>
    </row>
    <row r="11" spans="1:20" x14ac:dyDescent="0.25">
      <c r="A11" s="13"/>
      <c r="B11" s="85">
        <f ca="1">EDATE(B10,3)</f>
        <v>44624</v>
      </c>
      <c r="C11" s="86">
        <f t="shared" ca="1" si="0"/>
        <v>1.7722222222222221</v>
      </c>
      <c r="D11" s="87">
        <f ca="1">rate8+(rate9-rate8)/(time9-time8)*(time-time8)</f>
        <v>1.1838795260754103E-3</v>
      </c>
      <c r="E11" s="86">
        <f t="shared" ca="1" si="5"/>
        <v>0.9979053402316157</v>
      </c>
      <c r="F11" s="73"/>
      <c r="G11" s="72">
        <f t="shared" ref="G11:G24" ca="1" si="6">(E11-E10)/(B11-B10)</f>
        <v>-5.3633916079943844E-6</v>
      </c>
      <c r="H11" s="73"/>
      <c r="I11" s="73"/>
      <c r="J11" s="74"/>
      <c r="K11" s="74"/>
      <c r="L11" s="72"/>
      <c r="M11" s="95"/>
      <c r="N11" s="95"/>
      <c r="O11" s="95"/>
      <c r="P11" s="95"/>
      <c r="Q11" s="95"/>
      <c r="R11" s="95"/>
      <c r="S11" s="95"/>
      <c r="T11" s="95"/>
    </row>
    <row r="12" spans="1:20" x14ac:dyDescent="0.25">
      <c r="A12" s="13">
        <v>3</v>
      </c>
      <c r="B12" s="88">
        <f ca="1">mat_8</f>
        <v>44716</v>
      </c>
      <c r="C12" s="89">
        <f t="shared" ca="1" si="0"/>
        <v>2.0277777777777777</v>
      </c>
      <c r="D12" s="90">
        <v>1.3101394092466835E-3</v>
      </c>
      <c r="E12" s="86">
        <f t="shared" ref="E12:E16" ca="1" si="7">1/(1+D12)^(C12)</f>
        <v>0.99734858842385044</v>
      </c>
      <c r="F12" s="73">
        <f ca="1">+(B12-B8)/360</f>
        <v>1.0138888888888888</v>
      </c>
      <c r="G12" s="72">
        <f ca="1">(E12-E8)/(B12-B8)</f>
        <v>-4.3783765142671114E-6</v>
      </c>
      <c r="H12" s="73"/>
      <c r="I12" s="72"/>
      <c r="J12" s="72">
        <f ca="1">coupon8_OISUSD*100*$F12+100</f>
        <v>100.13281944444445</v>
      </c>
      <c r="K12" s="74">
        <f ca="1">coupon9_OISUSD*100*$F12</f>
        <v>0.18351388888888887</v>
      </c>
      <c r="L12" s="72">
        <f ca="1">coupon11_OISUSD*100*$F12</f>
        <v>0.28895833333333332</v>
      </c>
      <c r="M12" s="95"/>
      <c r="N12" s="95"/>
      <c r="O12" s="95"/>
      <c r="P12" s="95"/>
      <c r="Q12" s="95"/>
      <c r="R12" s="95"/>
      <c r="S12" s="95"/>
      <c r="T12" s="95"/>
    </row>
    <row r="13" spans="1:20" x14ac:dyDescent="0.25">
      <c r="A13" s="13"/>
      <c r="B13" s="85">
        <f ca="1">EDATE(B12,3)</f>
        <v>44808</v>
      </c>
      <c r="C13" s="86">
        <f t="shared" ca="1" si="0"/>
        <v>2.2833333333333332</v>
      </c>
      <c r="D13" s="87">
        <f ca="1">rate8+(rate9-rate8)/(time9-time8)*(time-time8)</f>
        <v>1.4363992924179567E-3</v>
      </c>
      <c r="E13" s="86">
        <f t="shared" ca="1" si="7"/>
        <v>0.99672793979312313</v>
      </c>
      <c r="F13" s="73"/>
      <c r="G13" s="72">
        <f t="shared" ca="1" si="6"/>
        <v>-6.7461807687750559E-6</v>
      </c>
      <c r="H13" s="73"/>
      <c r="I13" s="72"/>
      <c r="J13" s="72"/>
      <c r="K13" s="74"/>
      <c r="L13" s="72"/>
      <c r="M13" s="95"/>
      <c r="N13" s="95"/>
      <c r="O13" s="95"/>
      <c r="P13" s="95"/>
      <c r="Q13" s="95"/>
      <c r="R13" s="95"/>
      <c r="S13" s="95"/>
      <c r="T13" s="95"/>
    </row>
    <row r="14" spans="1:20" x14ac:dyDescent="0.25">
      <c r="A14" s="13"/>
      <c r="B14" s="85">
        <f ca="1">EDATE(B13,3)</f>
        <v>44899</v>
      </c>
      <c r="C14" s="86">
        <f t="shared" ca="1" si="0"/>
        <v>2.536111111111111</v>
      </c>
      <c r="D14" s="87">
        <f ca="1">rate8+(rate9-rate8)/(time9-time8)*(time-time8)</f>
        <v>1.5612867855547595E-3</v>
      </c>
      <c r="E14" s="86">
        <f t="shared" ca="1" si="7"/>
        <v>0.99605130772422312</v>
      </c>
      <c r="F14" s="73"/>
      <c r="G14" s="72">
        <f t="shared" ca="1" si="6"/>
        <v>-7.4355172406594195E-6</v>
      </c>
      <c r="H14" s="73"/>
      <c r="I14" s="72"/>
      <c r="J14" s="72"/>
      <c r="K14" s="74"/>
      <c r="L14" s="72"/>
      <c r="M14" s="95"/>
      <c r="N14" s="95"/>
      <c r="O14" s="95"/>
      <c r="P14" s="95"/>
      <c r="Q14" s="95"/>
      <c r="R14" s="95"/>
      <c r="S14" s="95"/>
      <c r="T14" s="95"/>
    </row>
    <row r="15" spans="1:20" x14ac:dyDescent="0.25">
      <c r="A15" s="13"/>
      <c r="B15" s="85">
        <f ca="1">EDATE(B14,3)</f>
        <v>44989</v>
      </c>
      <c r="C15" s="86">
        <f t="shared" ca="1" si="0"/>
        <v>2.786111111111111</v>
      </c>
      <c r="D15" s="87">
        <f ca="1">rate8+(rate9-rate8)/(time9-time8)*(time-time8)</f>
        <v>1.6848018886570918E-3</v>
      </c>
      <c r="E15" s="86">
        <f t="shared" ca="1" si="7"/>
        <v>0.99532088589336298</v>
      </c>
      <c r="F15" s="73"/>
      <c r="G15" s="72">
        <f t="shared" ca="1" si="6"/>
        <v>-8.1157981206682178E-6</v>
      </c>
      <c r="H15" s="73"/>
      <c r="I15" s="72"/>
      <c r="J15" s="72"/>
      <c r="K15" s="74"/>
      <c r="L15" s="72"/>
      <c r="M15" s="95"/>
      <c r="N15" s="95"/>
      <c r="O15" s="95"/>
      <c r="P15" s="95"/>
      <c r="Q15" s="95"/>
      <c r="R15" s="95"/>
      <c r="S15" s="95"/>
      <c r="T15" s="95"/>
    </row>
    <row r="16" spans="1:20" x14ac:dyDescent="0.25">
      <c r="A16" s="13">
        <v>4</v>
      </c>
      <c r="B16" s="88">
        <f ca="1">mat_9</f>
        <v>45081</v>
      </c>
      <c r="C16" s="89">
        <f t="shared" ca="1" si="0"/>
        <v>3.0416666666666665</v>
      </c>
      <c r="D16" s="90">
        <v>1.811061771828365E-3</v>
      </c>
      <c r="E16" s="86">
        <f t="shared" ca="1" si="7"/>
        <v>0.99451145342434499</v>
      </c>
      <c r="F16" s="73">
        <f ca="1">+(B16-B12)/360</f>
        <v>1.0138888888888888</v>
      </c>
      <c r="G16" s="72">
        <f t="shared" ca="1" si="6"/>
        <v>-8.7981790110651073E-6</v>
      </c>
      <c r="H16" s="73"/>
      <c r="I16" s="72"/>
      <c r="J16" s="72"/>
      <c r="K16" s="74">
        <f ca="1">coupon9_OISUSD*100*$F16+100</f>
        <v>100.18351388888888</v>
      </c>
      <c r="L16" s="72">
        <f ca="1">coupon11_OISUSD*100*$F16</f>
        <v>0.28895833333333332</v>
      </c>
      <c r="M16" s="95"/>
      <c r="N16" s="95"/>
      <c r="O16" s="95"/>
      <c r="P16" s="95"/>
      <c r="Q16" s="95"/>
      <c r="R16" s="95"/>
      <c r="S16" s="95"/>
      <c r="T16" s="95"/>
    </row>
    <row r="17" spans="1:18" x14ac:dyDescent="0.25">
      <c r="A17" s="13"/>
      <c r="B17" s="85">
        <f t="shared" ref="B17:B23" ca="1" si="8">EDATE(B16,3)</f>
        <v>45173</v>
      </c>
      <c r="C17" s="86">
        <f t="shared" ca="1" si="0"/>
        <v>3.2972222222222221</v>
      </c>
      <c r="D17" s="87">
        <f t="shared" ref="D17:D23" ca="1" si="9">rate9+(rate11-rate9)/(time11-time9)*(time-time9)</f>
        <v>1.9425476203981764E-3</v>
      </c>
      <c r="E17" s="86">
        <f t="shared" ref="E17:E24" ca="1" si="10">1/(1+D17)^(C17)</f>
        <v>0.99362163050616437</v>
      </c>
      <c r="F17" s="73"/>
      <c r="G17" s="72">
        <f t="shared" ca="1" si="6"/>
        <v>-9.6719882410937732E-6</v>
      </c>
      <c r="H17" s="73"/>
      <c r="I17" s="72"/>
      <c r="J17" s="72"/>
      <c r="K17" s="74"/>
      <c r="L17" s="72"/>
      <c r="M17"/>
      <c r="N17"/>
      <c r="O17"/>
      <c r="P17"/>
      <c r="Q17"/>
      <c r="R17"/>
    </row>
    <row r="18" spans="1:18" x14ac:dyDescent="0.25">
      <c r="A18" s="13"/>
      <c r="B18" s="85">
        <f t="shared" ca="1" si="8"/>
        <v>45264</v>
      </c>
      <c r="C18" s="86">
        <f t="shared" ca="1" si="0"/>
        <v>3.55</v>
      </c>
      <c r="D18" s="87">
        <f t="shared" ca="1" si="9"/>
        <v>2.0726042749617942E-3</v>
      </c>
      <c r="E18" s="86">
        <f t="shared" ca="1" si="10"/>
        <v>0.99267681530383933</v>
      </c>
      <c r="F18" s="73"/>
      <c r="G18" s="72">
        <f t="shared" ca="1" si="6"/>
        <v>-1.0382584640934433E-5</v>
      </c>
      <c r="H18" s="73"/>
      <c r="I18" s="72"/>
      <c r="J18" s="72"/>
      <c r="K18" s="74"/>
      <c r="L18" s="72"/>
      <c r="M18"/>
      <c r="N18"/>
      <c r="O18"/>
      <c r="P18"/>
      <c r="Q18"/>
      <c r="R18"/>
    </row>
    <row r="19" spans="1:18" x14ac:dyDescent="0.25">
      <c r="A19" s="13"/>
      <c r="B19" s="85">
        <f t="shared" ca="1" si="8"/>
        <v>45355</v>
      </c>
      <c r="C19" s="86">
        <f t="shared" ca="1" si="0"/>
        <v>3.8027777777777776</v>
      </c>
      <c r="D19" s="87">
        <f t="shared" ca="1" si="9"/>
        <v>2.2026609295254119E-3</v>
      </c>
      <c r="E19" s="86">
        <f t="shared" ca="1" si="10"/>
        <v>0.99166788751720991</v>
      </c>
      <c r="F19" s="73"/>
      <c r="G19" s="72">
        <f t="shared" ca="1" si="6"/>
        <v>-1.1087118534389243E-5</v>
      </c>
      <c r="H19" s="73"/>
      <c r="I19" s="72"/>
      <c r="J19" s="72"/>
      <c r="K19" s="74"/>
      <c r="L19" s="72"/>
      <c r="M19"/>
      <c r="N19"/>
      <c r="O19"/>
      <c r="P19"/>
      <c r="Q19"/>
      <c r="R19"/>
    </row>
    <row r="20" spans="1:18" x14ac:dyDescent="0.25">
      <c r="A20" s="13"/>
      <c r="B20" s="85">
        <f t="shared" ca="1" si="8"/>
        <v>45447</v>
      </c>
      <c r="C20" s="86">
        <f t="shared" ca="1" si="0"/>
        <v>4.0583333333333336</v>
      </c>
      <c r="D20" s="87">
        <f t="shared" ca="1" si="9"/>
        <v>2.3341467780952237E-3</v>
      </c>
      <c r="E20" s="86">
        <f t="shared" ca="1" si="10"/>
        <v>0.99058291365423612</v>
      </c>
      <c r="F20" s="73">
        <f ca="1">+(B20-B16)/360</f>
        <v>1.0166666666666666</v>
      </c>
      <c r="G20" s="72">
        <f t="shared" ca="1" si="6"/>
        <v>-1.1793194162758615E-5</v>
      </c>
      <c r="H20" s="73"/>
      <c r="I20" s="72"/>
      <c r="J20" s="72"/>
      <c r="K20" s="74"/>
      <c r="L20" s="72">
        <f ca="1">coupon11_OISUSD*100*$F20</f>
        <v>0.28974999999999995</v>
      </c>
      <c r="M20"/>
      <c r="N20"/>
      <c r="O20"/>
      <c r="P20"/>
      <c r="Q20"/>
      <c r="R20"/>
    </row>
    <row r="21" spans="1:18" x14ac:dyDescent="0.25">
      <c r="A21" s="13"/>
      <c r="B21" s="85">
        <f t="shared" ca="1" si="8"/>
        <v>45539</v>
      </c>
      <c r="C21" s="86">
        <f t="shared" ca="1" si="0"/>
        <v>4.3138888888888891</v>
      </c>
      <c r="D21" s="87">
        <f t="shared" ca="1" si="9"/>
        <v>2.4656326266650351E-3</v>
      </c>
      <c r="E21" s="86">
        <f t="shared" ca="1" si="10"/>
        <v>0.98943285484843857</v>
      </c>
      <c r="F21" s="73"/>
      <c r="G21" s="72">
        <f t="shared" ca="1" si="6"/>
        <v>-1.2500639193451621E-5</v>
      </c>
      <c r="H21" s="73"/>
      <c r="I21" s="72"/>
      <c r="J21" s="72"/>
      <c r="K21" s="74"/>
      <c r="L21" s="72"/>
      <c r="M21"/>
      <c r="N21"/>
      <c r="O21"/>
      <c r="P21"/>
      <c r="Q21"/>
      <c r="R21"/>
    </row>
    <row r="22" spans="1:18" x14ac:dyDescent="0.25">
      <c r="A22" s="13"/>
      <c r="B22" s="85">
        <f t="shared" ca="1" si="8"/>
        <v>45630</v>
      </c>
      <c r="C22" s="86">
        <f t="shared" ca="1" si="0"/>
        <v>4.5666666666666664</v>
      </c>
      <c r="D22" s="87">
        <f t="shared" ca="1" si="9"/>
        <v>2.5956892812286528E-3</v>
      </c>
      <c r="E22" s="86">
        <f t="shared" ca="1" si="10"/>
        <v>0.98823150676507088</v>
      </c>
      <c r="F22" s="73"/>
      <c r="G22" s="72">
        <f t="shared" ca="1" si="6"/>
        <v>-1.3201627289754863E-5</v>
      </c>
      <c r="H22" s="73"/>
      <c r="I22" s="72"/>
      <c r="J22" s="72"/>
      <c r="K22" s="74"/>
      <c r="L22" s="72"/>
      <c r="M22"/>
      <c r="N22"/>
      <c r="O22"/>
      <c r="P22"/>
      <c r="Q22"/>
      <c r="R22"/>
    </row>
    <row r="23" spans="1:18" x14ac:dyDescent="0.25">
      <c r="A23" s="13"/>
      <c r="B23" s="85">
        <f t="shared" ca="1" si="8"/>
        <v>45720</v>
      </c>
      <c r="C23" s="86">
        <f t="shared" ca="1" si="0"/>
        <v>4.8166666666666664</v>
      </c>
      <c r="D23" s="87">
        <f t="shared" ca="1" si="9"/>
        <v>2.7243167417860771E-3</v>
      </c>
      <c r="E23" s="86">
        <f t="shared" ca="1" si="10"/>
        <v>0.98698120367677156</v>
      </c>
      <c r="F23" s="73"/>
      <c r="G23" s="72">
        <f t="shared" ca="1" si="6"/>
        <v>-1.3892256536659117E-5</v>
      </c>
      <c r="H23" s="73"/>
      <c r="I23" s="72"/>
      <c r="J23" s="72"/>
      <c r="K23" s="74"/>
      <c r="L23" s="72"/>
      <c r="M23"/>
      <c r="N23"/>
      <c r="O23"/>
      <c r="P23"/>
      <c r="Q23"/>
      <c r="R23"/>
    </row>
    <row r="24" spans="1:18" ht="15.75" thickBot="1" x14ac:dyDescent="0.3">
      <c r="A24" s="21">
        <v>5</v>
      </c>
      <c r="B24" s="69">
        <f ca="1">mat_11</f>
        <v>45812</v>
      </c>
      <c r="C24" s="70">
        <f t="shared" ca="1" si="0"/>
        <v>5.072222222222222</v>
      </c>
      <c r="D24" s="71">
        <v>2.8558025903558885E-3</v>
      </c>
      <c r="E24" s="97">
        <f t="shared" ca="1" si="10"/>
        <v>0.98563948893036113</v>
      </c>
      <c r="F24" s="98">
        <f ca="1">+(B24-B20)/360</f>
        <v>1.0138888888888888</v>
      </c>
      <c r="G24" s="77">
        <f t="shared" ca="1" si="6"/>
        <v>-1.4583855939243776E-5</v>
      </c>
      <c r="H24" s="98"/>
      <c r="I24" s="77"/>
      <c r="J24" s="77"/>
      <c r="K24" s="99"/>
      <c r="L24" s="77">
        <f ca="1">coupon11_OISUSD*100*$F24+100</f>
        <v>100.28895833333333</v>
      </c>
      <c r="M24"/>
      <c r="N24"/>
      <c r="O24"/>
      <c r="P24"/>
      <c r="Q24"/>
      <c r="R24"/>
    </row>
    <row r="25" spans="1:18" x14ac:dyDescent="0.25">
      <c r="A25" s="84"/>
      <c r="B25" s="85"/>
      <c r="C25" s="86"/>
      <c r="D25" s="91"/>
      <c r="E25" s="75"/>
      <c r="F25" s="75"/>
      <c r="G25" s="75"/>
      <c r="H25" s="100">
        <f ca="1">SUMPRODUCT(DF,CFLOW1)</f>
        <v>100.00000000494578</v>
      </c>
      <c r="I25" s="100">
        <f ca="1">SUMPRODUCT(DF,CFLOW2)</f>
        <v>100.00000296452947</v>
      </c>
      <c r="J25" s="100">
        <f ca="1">SUMPRODUCT(DF,CFLOW8)</f>
        <v>100.00000567298957</v>
      </c>
      <c r="K25" s="100">
        <f ca="1">SUMPRODUCT(DF,CFLOW9)</f>
        <v>99.999999917784862</v>
      </c>
      <c r="L25" s="100">
        <f ca="1">SUMPRODUCT(DF,CFLOW11)</f>
        <v>99.999997566504078</v>
      </c>
      <c r="M25" s="78" t="s">
        <v>22</v>
      </c>
      <c r="N25"/>
      <c r="O25"/>
      <c r="P25"/>
      <c r="Q25"/>
      <c r="R25"/>
    </row>
    <row r="26" spans="1:18" ht="15.75" thickBot="1" x14ac:dyDescent="0.3">
      <c r="A26" s="1"/>
      <c r="B26" s="20"/>
      <c r="C26" s="75"/>
      <c r="D26" s="76"/>
      <c r="E26" s="75"/>
      <c r="F26" s="75"/>
      <c r="G26" s="75"/>
      <c r="H26" s="101">
        <v>100</v>
      </c>
      <c r="I26" s="101">
        <v>100</v>
      </c>
      <c r="J26" s="101">
        <v>100</v>
      </c>
      <c r="K26" s="101">
        <v>100</v>
      </c>
      <c r="L26" s="101">
        <v>100</v>
      </c>
      <c r="M26" s="78" t="s">
        <v>23</v>
      </c>
      <c r="N26"/>
      <c r="O26"/>
      <c r="P26"/>
      <c r="Q26"/>
      <c r="R26"/>
    </row>
    <row r="27" spans="1:18" ht="15.75" thickBot="1" x14ac:dyDescent="0.3">
      <c r="A27" s="1"/>
      <c r="B27" s="20"/>
      <c r="C27" s="1"/>
      <c r="D27" s="1"/>
      <c r="E27" s="1"/>
      <c r="F27" s="1"/>
      <c r="G27" s="1"/>
      <c r="H27" s="79">
        <f t="shared" ref="H27:L27" ca="1" si="11">+H26-H25</f>
        <v>-4.9457753448223229E-9</v>
      </c>
      <c r="I27" s="79">
        <f t="shared" ca="1" si="11"/>
        <v>-2.9645294716829085E-6</v>
      </c>
      <c r="J27" s="79">
        <f t="shared" ca="1" si="11"/>
        <v>-5.6729895732132718E-6</v>
      </c>
      <c r="K27" s="79">
        <f t="shared" ca="1" si="11"/>
        <v>8.2215137808816507E-8</v>
      </c>
      <c r="L27" s="79">
        <f t="shared" ca="1" si="11"/>
        <v>2.4334959221050667E-6</v>
      </c>
      <c r="M27" s="78" t="s">
        <v>24</v>
      </c>
      <c r="N27"/>
      <c r="O27"/>
      <c r="P27"/>
      <c r="Q27"/>
      <c r="R27"/>
    </row>
    <row r="28" spans="1:18" x14ac:dyDescent="0.25">
      <c r="A28" s="1"/>
      <c r="B28" s="1"/>
      <c r="C28" s="1"/>
      <c r="D28" s="1"/>
      <c r="E28" s="1"/>
      <c r="F28" s="1"/>
      <c r="G28" s="1"/>
      <c r="H28" s="1"/>
      <c r="I28" s="1"/>
      <c r="N28"/>
      <c r="O28"/>
      <c r="P28"/>
      <c r="Q28"/>
      <c r="R28"/>
    </row>
    <row r="29" spans="1:18" x14ac:dyDescent="0.25">
      <c r="A29" s="1"/>
      <c r="B29" s="1"/>
      <c r="C29" s="1"/>
      <c r="D29" s="1"/>
      <c r="E29" s="1"/>
      <c r="F29" s="1"/>
      <c r="G29" s="1"/>
      <c r="H29" s="1"/>
      <c r="I29" s="1"/>
      <c r="J29"/>
      <c r="K29"/>
      <c r="L29"/>
      <c r="M29"/>
      <c r="N29"/>
      <c r="O29"/>
      <c r="P29"/>
      <c r="Q29"/>
      <c r="R29"/>
    </row>
    <row r="30" spans="1:18" x14ac:dyDescent="0.25">
      <c r="A30" s="1"/>
      <c r="B30" s="1"/>
      <c r="C30" s="1"/>
      <c r="D30" s="1"/>
      <c r="E30" s="1"/>
      <c r="F30" s="1"/>
      <c r="G30" s="1"/>
      <c r="H30" s="1"/>
      <c r="I30" s="1"/>
      <c r="J30"/>
      <c r="K30"/>
      <c r="L30"/>
      <c r="M30"/>
      <c r="N30"/>
      <c r="O30"/>
      <c r="P30"/>
      <c r="Q30"/>
      <c r="R30"/>
    </row>
    <row r="31" spans="1:18" x14ac:dyDescent="0.25">
      <c r="A31" s="1"/>
      <c r="B31" s="1"/>
      <c r="C31" s="1"/>
      <c r="D31" s="1"/>
      <c r="E31" s="1"/>
      <c r="F31" s="1"/>
      <c r="G31" s="1"/>
      <c r="H31" s="1"/>
      <c r="I31" s="1"/>
      <c r="J31"/>
      <c r="K31"/>
      <c r="L31"/>
      <c r="M31"/>
      <c r="N31"/>
      <c r="O31"/>
      <c r="P31"/>
      <c r="Q31"/>
      <c r="R31"/>
    </row>
    <row r="32" spans="1:18" x14ac:dyDescent="0.25">
      <c r="A32" s="1"/>
      <c r="B32" s="1"/>
      <c r="C32" s="1"/>
      <c r="D32" s="1"/>
      <c r="E32" s="1"/>
      <c r="F32" s="1"/>
      <c r="G32" s="1"/>
      <c r="H32" s="1"/>
      <c r="I32" s="1"/>
      <c r="J32"/>
      <c r="K32"/>
      <c r="L32"/>
      <c r="M32"/>
      <c r="N32"/>
      <c r="O32"/>
      <c r="P32"/>
      <c r="Q32"/>
      <c r="R32"/>
    </row>
    <row r="33" spans="1:18" x14ac:dyDescent="0.25">
      <c r="A33" s="1"/>
      <c r="B33" s="1"/>
      <c r="C33" s="1"/>
      <c r="D33" s="1"/>
      <c r="E33" s="1"/>
      <c r="F33" s="1"/>
      <c r="G33" s="1"/>
      <c r="H33" s="1"/>
      <c r="I33" s="1"/>
      <c r="J33"/>
      <c r="K33"/>
      <c r="L33"/>
      <c r="M33"/>
      <c r="N33"/>
      <c r="O33"/>
      <c r="P33"/>
      <c r="Q33"/>
      <c r="R33"/>
    </row>
    <row r="34" spans="1:18" x14ac:dyDescent="0.25">
      <c r="A34" s="1"/>
      <c r="B34" s="1"/>
      <c r="C34" s="1"/>
      <c r="D34" s="1"/>
      <c r="E34" s="1"/>
      <c r="F34" s="1"/>
      <c r="G34" s="1"/>
      <c r="H34" s="1"/>
      <c r="I34" s="1"/>
      <c r="J34"/>
      <c r="K34"/>
      <c r="L34"/>
      <c r="M34"/>
      <c r="N34"/>
      <c r="O34"/>
      <c r="P34"/>
      <c r="Q34"/>
      <c r="R34"/>
    </row>
    <row r="35" spans="1:18" x14ac:dyDescent="0.25">
      <c r="A35" s="1"/>
      <c r="B35" s="1"/>
      <c r="C35" s="1"/>
      <c r="D35" s="1"/>
      <c r="E35" s="1"/>
      <c r="F35" s="1"/>
      <c r="G35" s="1"/>
      <c r="H35" s="1"/>
      <c r="I35" s="1"/>
      <c r="J35"/>
      <c r="K35"/>
      <c r="L35"/>
      <c r="M35"/>
      <c r="N35"/>
      <c r="O35"/>
      <c r="P35"/>
      <c r="Q35"/>
      <c r="R35"/>
    </row>
    <row r="36" spans="1:18" x14ac:dyDescent="0.25">
      <c r="A36" s="1"/>
      <c r="B36" s="1"/>
      <c r="C36" s="1"/>
      <c r="D36" s="1"/>
      <c r="E36" s="1"/>
      <c r="F36" s="1"/>
      <c r="G36" s="1"/>
      <c r="H36" s="1"/>
      <c r="I36" s="1"/>
      <c r="J36"/>
      <c r="K36"/>
      <c r="L36"/>
      <c r="M36"/>
      <c r="N36"/>
      <c r="O36"/>
      <c r="P36"/>
      <c r="Q36"/>
      <c r="R36"/>
    </row>
    <row r="37" spans="1:18" x14ac:dyDescent="0.25">
      <c r="A37" s="1"/>
      <c r="B37" s="1"/>
      <c r="C37" s="1"/>
      <c r="D37" s="1"/>
      <c r="E37" s="1"/>
      <c r="F37" s="1"/>
      <c r="G37" s="1"/>
      <c r="H37" s="1"/>
      <c r="I37" s="1"/>
      <c r="J37"/>
      <c r="K37"/>
      <c r="L37"/>
      <c r="M37"/>
      <c r="N37"/>
      <c r="O37"/>
      <c r="P37"/>
      <c r="Q37"/>
      <c r="R37"/>
    </row>
    <row r="38" spans="1:18" x14ac:dyDescent="0.25">
      <c r="A38" s="1"/>
      <c r="B38" s="1"/>
      <c r="C38" s="1"/>
      <c r="D38" s="1"/>
      <c r="E38" s="1"/>
      <c r="F38" s="1"/>
      <c r="G38" s="1"/>
      <c r="H38" s="1"/>
      <c r="I38" s="1"/>
      <c r="J38"/>
      <c r="K38"/>
      <c r="L38"/>
      <c r="M38"/>
      <c r="N38"/>
      <c r="O38"/>
      <c r="P38"/>
      <c r="Q38"/>
      <c r="R38"/>
    </row>
    <row r="39" spans="1:18" x14ac:dyDescent="0.25">
      <c r="A39" s="1"/>
      <c r="B39" s="1"/>
      <c r="C39" s="1"/>
      <c r="D39" s="1"/>
      <c r="E39" s="1"/>
      <c r="F39" s="1"/>
      <c r="G39" s="1"/>
      <c r="H39" s="1"/>
      <c r="I39" s="1"/>
      <c r="J39"/>
      <c r="K39"/>
      <c r="L39"/>
      <c r="M39"/>
      <c r="N39"/>
      <c r="O39"/>
      <c r="P39"/>
      <c r="Q39"/>
      <c r="R39"/>
    </row>
    <row r="40" spans="1:18" x14ac:dyDescent="0.25">
      <c r="A40" s="1"/>
      <c r="B40" s="1"/>
      <c r="C40" s="1"/>
      <c r="D40" s="1"/>
      <c r="E40" s="1"/>
      <c r="F40" s="1"/>
      <c r="G40" s="1"/>
      <c r="H40" s="1"/>
      <c r="I40" s="1"/>
      <c r="J40"/>
      <c r="K40"/>
      <c r="L40"/>
      <c r="M40"/>
      <c r="N40"/>
      <c r="O40"/>
      <c r="P40"/>
      <c r="Q40"/>
      <c r="R40"/>
    </row>
    <row r="41" spans="1:18" x14ac:dyDescent="0.25">
      <c r="A41" s="1"/>
      <c r="B41" s="1"/>
      <c r="C41" s="1"/>
      <c r="D41" s="1"/>
      <c r="E41" s="1"/>
      <c r="F41" s="1"/>
      <c r="G41" s="1"/>
      <c r="H41" s="1"/>
      <c r="I41" s="1"/>
      <c r="J41"/>
      <c r="K41"/>
      <c r="L41"/>
      <c r="M41"/>
      <c r="N41"/>
      <c r="O41"/>
      <c r="P41"/>
      <c r="Q41"/>
      <c r="R41"/>
    </row>
    <row r="42" spans="1:18" x14ac:dyDescent="0.25">
      <c r="A42" s="1"/>
      <c r="B42" s="1"/>
      <c r="C42" s="1"/>
      <c r="D42" s="1"/>
      <c r="E42" s="1"/>
      <c r="F42" s="1"/>
      <c r="G42" s="1"/>
      <c r="H42" s="1"/>
      <c r="I42" s="1"/>
      <c r="J42"/>
      <c r="K42"/>
      <c r="L42"/>
      <c r="M42"/>
      <c r="N42"/>
      <c r="O42"/>
      <c r="P42"/>
      <c r="Q42"/>
      <c r="R42"/>
    </row>
    <row r="43" spans="1:18" x14ac:dyDescent="0.25">
      <c r="A43" s="1"/>
      <c r="B43" s="1"/>
      <c r="C43" s="1"/>
      <c r="D43" s="1"/>
      <c r="E43" s="1"/>
      <c r="F43" s="1"/>
      <c r="G43" s="1"/>
      <c r="H43" s="1"/>
      <c r="I43" s="1"/>
      <c r="J43"/>
      <c r="K43"/>
      <c r="L43"/>
      <c r="M43"/>
      <c r="N43"/>
      <c r="O43"/>
      <c r="P43"/>
      <c r="Q43"/>
      <c r="R43"/>
    </row>
    <row r="44" spans="1:18" x14ac:dyDescent="0.25">
      <c r="A44" s="1"/>
      <c r="B44" s="1"/>
      <c r="C44" s="1"/>
      <c r="D44" s="1"/>
      <c r="E44" s="1"/>
      <c r="F44" s="1"/>
      <c r="G44" s="1"/>
      <c r="H44" s="1"/>
      <c r="I44" s="1"/>
      <c r="J44"/>
      <c r="K44"/>
      <c r="L44"/>
      <c r="M44"/>
      <c r="N44"/>
      <c r="O44"/>
      <c r="P44"/>
      <c r="Q44"/>
      <c r="R44"/>
    </row>
    <row r="45" spans="1:18" x14ac:dyDescent="0.25">
      <c r="A45" s="1"/>
      <c r="B45" s="1"/>
      <c r="C45" s="1"/>
      <c r="D45" s="1"/>
      <c r="E45" s="1"/>
      <c r="F45" s="1"/>
      <c r="G45" s="1"/>
      <c r="H45" s="1"/>
      <c r="I45" s="1"/>
      <c r="J45"/>
      <c r="K45"/>
      <c r="L45"/>
      <c r="M45"/>
      <c r="N45"/>
      <c r="O45"/>
      <c r="P45"/>
      <c r="Q45"/>
      <c r="R45"/>
    </row>
    <row r="46" spans="1:18" x14ac:dyDescent="0.25">
      <c r="A46" s="1"/>
      <c r="B46" s="1"/>
      <c r="C46" s="1"/>
      <c r="D46" s="1"/>
      <c r="E46" s="1"/>
      <c r="F46" s="1"/>
      <c r="G46" s="1"/>
      <c r="H46" s="1"/>
      <c r="I46" s="1"/>
      <c r="J46"/>
      <c r="K46"/>
      <c r="L46"/>
      <c r="M46"/>
      <c r="N46"/>
      <c r="O46"/>
      <c r="P46"/>
      <c r="Q46"/>
      <c r="R46"/>
    </row>
    <row r="47" spans="1:18" x14ac:dyDescent="0.25">
      <c r="A47" s="1"/>
      <c r="B47" s="1"/>
      <c r="C47" s="1"/>
      <c r="D47" s="1"/>
      <c r="E47" s="1"/>
      <c r="F47" s="1"/>
      <c r="G47" s="1"/>
      <c r="H47" s="1"/>
      <c r="I47" s="1"/>
      <c r="J47"/>
      <c r="K47"/>
      <c r="L47"/>
      <c r="M47"/>
      <c r="N47"/>
      <c r="O47"/>
      <c r="P47"/>
      <c r="Q47"/>
      <c r="R47"/>
    </row>
    <row r="48" spans="1:18" x14ac:dyDescent="0.25">
      <c r="A48" s="1"/>
      <c r="B48" s="1"/>
      <c r="C48" s="1"/>
      <c r="D48" s="1"/>
      <c r="E48" s="1"/>
      <c r="F48" s="1"/>
      <c r="G48" s="1"/>
      <c r="H48" s="1"/>
      <c r="I48" s="1"/>
      <c r="J48"/>
      <c r="K48"/>
      <c r="L48"/>
      <c r="M48"/>
      <c r="N48"/>
      <c r="O48"/>
      <c r="P48"/>
      <c r="Q48"/>
      <c r="R48"/>
    </row>
  </sheetData>
  <mergeCells count="1">
    <mergeCell ref="H1:L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7D858-C9EF-4CC6-A103-21E9ABB51553}">
  <sheetPr codeName="Hoja1"/>
  <dimension ref="A1:N910"/>
  <sheetViews>
    <sheetView topLeftCell="A875" zoomScale="80" zoomScaleNormal="80" workbookViewId="0">
      <selection activeCell="I893" sqref="I893"/>
    </sheetView>
  </sheetViews>
  <sheetFormatPr baseColWidth="10" defaultRowHeight="15" x14ac:dyDescent="0.25"/>
  <cols>
    <col min="1" max="1" width="11.5703125" bestFit="1" customWidth="1"/>
    <col min="12" max="12" width="15.5703125" bestFit="1" customWidth="1"/>
    <col min="14" max="14" width="14.42578125" bestFit="1" customWidth="1"/>
  </cols>
  <sheetData>
    <row r="1" spans="1:14" x14ac:dyDescent="0.25"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32</v>
      </c>
      <c r="L1" t="s">
        <v>43</v>
      </c>
      <c r="M1" t="s">
        <v>44</v>
      </c>
      <c r="N1" t="s">
        <v>45</v>
      </c>
    </row>
    <row r="2" spans="1:14" x14ac:dyDescent="0.25">
      <c r="A2" s="102">
        <v>37645</v>
      </c>
      <c r="B2">
        <v>292.5</v>
      </c>
      <c r="C2">
        <v>486.875</v>
      </c>
      <c r="D2">
        <v>681.25</v>
      </c>
      <c r="E2">
        <v>792.5</v>
      </c>
      <c r="F2">
        <v>1.21</v>
      </c>
      <c r="G2">
        <v>1.26</v>
      </c>
      <c r="H2">
        <v>1.784</v>
      </c>
      <c r="I2">
        <v>2.3180000000000001</v>
      </c>
      <c r="J2">
        <v>3.1110000000000002</v>
      </c>
      <c r="K2">
        <v>0.41740822649320153</v>
      </c>
      <c r="L2" s="112">
        <f>VLOOKUP(A2,[3]RESUMEN!$A:$AE,31,1)</f>
        <v>-0.31663391941834451</v>
      </c>
      <c r="M2" s="113">
        <f>VLOOKUP(A2,[3]RESUMEN!$A:$AH,34,1)</f>
        <v>-1.7781049331020116</v>
      </c>
      <c r="N2" s="113">
        <f>VLOOKUP(A2,[3]RESUMEN!$A:$AI,35,1)</f>
        <v>-1.047369426260178</v>
      </c>
    </row>
    <row r="3" spans="1:14" x14ac:dyDescent="0.25">
      <c r="A3" s="102">
        <v>37652</v>
      </c>
      <c r="B3">
        <v>332.5</v>
      </c>
      <c r="C3">
        <v>506.25</v>
      </c>
      <c r="D3">
        <v>680</v>
      </c>
      <c r="E3">
        <v>805</v>
      </c>
      <c r="F3">
        <v>1.33</v>
      </c>
      <c r="G3">
        <v>1.276</v>
      </c>
      <c r="H3">
        <v>1.835</v>
      </c>
      <c r="I3">
        <v>2.3890000000000002</v>
      </c>
      <c r="J3">
        <v>3.2120000000000002</v>
      </c>
      <c r="K3">
        <v>0.42256938435952018</v>
      </c>
      <c r="L3" s="112">
        <f>VLOOKUP(A3,[3]RESUMEN!$A:$AE,31,1)</f>
        <v>-0.31663391941834451</v>
      </c>
      <c r="M3" s="113">
        <f>VLOOKUP(A3,[3]RESUMEN!$A:$AH,34,1)</f>
        <v>-1.7781049331020116</v>
      </c>
      <c r="N3" s="113">
        <f>VLOOKUP(A3,[3]RESUMEN!$A:$AI,35,1)</f>
        <v>-1.047369426260178</v>
      </c>
    </row>
    <row r="4" spans="1:14" x14ac:dyDescent="0.25">
      <c r="A4" s="102">
        <v>37659</v>
      </c>
      <c r="B4">
        <v>390</v>
      </c>
      <c r="C4">
        <v>563.125</v>
      </c>
      <c r="D4">
        <v>736.25</v>
      </c>
      <c r="E4">
        <v>838.75</v>
      </c>
      <c r="F4">
        <v>1.21</v>
      </c>
      <c r="G4">
        <v>1.228</v>
      </c>
      <c r="H4">
        <v>1.74</v>
      </c>
      <c r="I4">
        <v>2.2999999999999998</v>
      </c>
      <c r="J4">
        <v>3.161</v>
      </c>
      <c r="K4">
        <v>0.43434483195233053</v>
      </c>
      <c r="L4" s="112">
        <f>VLOOKUP(A4,[3]RESUMEN!$A:$AE,31,1)</f>
        <v>-0.31663391941834451</v>
      </c>
      <c r="M4" s="113">
        <f>VLOOKUP(A4,[3]RESUMEN!$A:$AH,34,1)</f>
        <v>-1.7781049331020116</v>
      </c>
      <c r="N4" s="113">
        <f>VLOOKUP(A4,[3]RESUMEN!$A:$AI,35,1)</f>
        <v>-1.047369426260178</v>
      </c>
    </row>
    <row r="5" spans="1:14" x14ac:dyDescent="0.25">
      <c r="A5" s="102">
        <v>37666</v>
      </c>
      <c r="B5">
        <v>395</v>
      </c>
      <c r="C5">
        <v>565</v>
      </c>
      <c r="D5">
        <v>735</v>
      </c>
      <c r="E5">
        <v>845</v>
      </c>
      <c r="F5">
        <v>1.3</v>
      </c>
      <c r="G5">
        <v>1.2370000000000001</v>
      </c>
      <c r="H5">
        <v>1.724</v>
      </c>
      <c r="I5">
        <v>2.2629999999999999</v>
      </c>
      <c r="J5">
        <v>3.1080000000000001</v>
      </c>
      <c r="K5">
        <v>0.43703816200004497</v>
      </c>
      <c r="L5" s="112">
        <f>VLOOKUP(A5,[3]RESUMEN!$A:$AE,31,1)</f>
        <v>-0.31663391941834451</v>
      </c>
      <c r="M5" s="113">
        <f>VLOOKUP(A5,[3]RESUMEN!$A:$AH,34,1)</f>
        <v>-1.7781049331020116</v>
      </c>
      <c r="N5" s="113">
        <f>VLOOKUP(A5,[3]RESUMEN!$A:$AI,35,1)</f>
        <v>-1.047369426260178</v>
      </c>
    </row>
    <row r="6" spans="1:14" x14ac:dyDescent="0.25">
      <c r="A6" s="102">
        <v>37673</v>
      </c>
      <c r="B6">
        <v>380</v>
      </c>
      <c r="C6">
        <v>548.75</v>
      </c>
      <c r="D6">
        <v>717.5</v>
      </c>
      <c r="E6">
        <v>820</v>
      </c>
      <c r="F6">
        <v>1.21</v>
      </c>
      <c r="G6">
        <v>1.244</v>
      </c>
      <c r="H6">
        <v>1.696</v>
      </c>
      <c r="I6">
        <v>2.21</v>
      </c>
      <c r="J6">
        <v>3.0339999999999998</v>
      </c>
      <c r="K6">
        <v>0.42703702304716684</v>
      </c>
      <c r="L6" s="112">
        <f>VLOOKUP(A6,[3]RESUMEN!$A:$AE,31,1)</f>
        <v>-0.31663391941834451</v>
      </c>
      <c r="M6" s="113">
        <f>VLOOKUP(A6,[3]RESUMEN!$A:$AH,34,1)</f>
        <v>-1.7781049331020116</v>
      </c>
      <c r="N6" s="113">
        <f>VLOOKUP(A6,[3]RESUMEN!$A:$AI,35,1)</f>
        <v>-1.047369426260178</v>
      </c>
    </row>
    <row r="7" spans="1:14" x14ac:dyDescent="0.25">
      <c r="A7" s="102">
        <v>37680</v>
      </c>
      <c r="B7">
        <v>331.25</v>
      </c>
      <c r="C7">
        <v>508.125</v>
      </c>
      <c r="D7">
        <v>685</v>
      </c>
      <c r="E7">
        <v>787.5</v>
      </c>
      <c r="F7">
        <v>1.33</v>
      </c>
      <c r="G7">
        <v>1.1950000000000001</v>
      </c>
      <c r="H7">
        <v>1.6240000000000001</v>
      </c>
      <c r="I7">
        <v>2.1139999999999999</v>
      </c>
      <c r="J7">
        <v>2.8940000000000001</v>
      </c>
      <c r="K7">
        <v>0.4146094809613049</v>
      </c>
      <c r="L7" s="112">
        <f>VLOOKUP(A7,[3]RESUMEN!$A:$AE,31,1)</f>
        <v>-0.31663391941834451</v>
      </c>
      <c r="M7" s="113">
        <f>VLOOKUP(A7,[3]RESUMEN!$A:$AH,34,1)</f>
        <v>-1.7781049331020116</v>
      </c>
      <c r="N7" s="113">
        <f>VLOOKUP(A7,[3]RESUMEN!$A:$AI,35,1)</f>
        <v>-1.047369426260178</v>
      </c>
    </row>
    <row r="8" spans="1:14" x14ac:dyDescent="0.25">
      <c r="A8" s="102">
        <v>37687</v>
      </c>
      <c r="B8">
        <v>313.75</v>
      </c>
      <c r="C8">
        <v>488.125</v>
      </c>
      <c r="D8">
        <v>662.5</v>
      </c>
      <c r="E8">
        <v>768.5</v>
      </c>
      <c r="F8">
        <v>1.2</v>
      </c>
      <c r="G8">
        <v>1.07</v>
      </c>
      <c r="H8">
        <v>1.4849999999999999</v>
      </c>
      <c r="I8">
        <v>1.9769999999999999</v>
      </c>
      <c r="J8">
        <v>2.774</v>
      </c>
      <c r="K8">
        <v>0.40721083180682349</v>
      </c>
      <c r="L8" s="112">
        <f>VLOOKUP(A8,[3]RESUMEN!$A:$AE,31,1)</f>
        <v>-0.31663391941834451</v>
      </c>
      <c r="M8" s="113">
        <f>VLOOKUP(A8,[3]RESUMEN!$A:$AH,34,1)</f>
        <v>-1.7781049331020116</v>
      </c>
      <c r="N8" s="113">
        <f>VLOOKUP(A8,[3]RESUMEN!$A:$AI,35,1)</f>
        <v>-1.047369426260178</v>
      </c>
    </row>
    <row r="9" spans="1:14" x14ac:dyDescent="0.25">
      <c r="A9" s="102">
        <v>37694</v>
      </c>
      <c r="B9">
        <v>312.5</v>
      </c>
      <c r="C9">
        <v>483.75</v>
      </c>
      <c r="D9">
        <v>655</v>
      </c>
      <c r="E9">
        <v>765</v>
      </c>
      <c r="F9">
        <v>1.3</v>
      </c>
      <c r="G9">
        <v>1.1850000000000001</v>
      </c>
      <c r="H9">
        <v>1.665</v>
      </c>
      <c r="I9">
        <v>2.1579999999999999</v>
      </c>
      <c r="J9">
        <v>2.9350000000000001</v>
      </c>
      <c r="K9">
        <v>0.40591511314818307</v>
      </c>
      <c r="L9" s="112">
        <f>VLOOKUP(A9,[3]RESUMEN!$A:$AE,31,1)</f>
        <v>-0.31663391941834451</v>
      </c>
      <c r="M9" s="113">
        <f>VLOOKUP(A9,[3]RESUMEN!$A:$AH,34,1)</f>
        <v>-1.7781049331020116</v>
      </c>
      <c r="N9" s="113">
        <f>VLOOKUP(A9,[3]RESUMEN!$A:$AI,35,1)</f>
        <v>-1.047369426260178</v>
      </c>
    </row>
    <row r="10" spans="1:14" x14ac:dyDescent="0.25">
      <c r="A10" s="102">
        <v>37701</v>
      </c>
      <c r="B10">
        <v>280</v>
      </c>
      <c r="C10">
        <v>465</v>
      </c>
      <c r="D10">
        <v>650</v>
      </c>
      <c r="E10">
        <v>755</v>
      </c>
      <c r="F10">
        <v>1.2</v>
      </c>
      <c r="G10">
        <v>1.3120000000000001</v>
      </c>
      <c r="H10">
        <v>1.9300000000000002</v>
      </c>
      <c r="I10">
        <v>2.512</v>
      </c>
      <c r="J10">
        <v>3.355</v>
      </c>
      <c r="K10">
        <v>0.40206345929878395</v>
      </c>
      <c r="L10" s="112">
        <f>VLOOKUP(A10,[3]RESUMEN!$A:$AE,31,1)</f>
        <v>-0.31663391941834451</v>
      </c>
      <c r="M10" s="113">
        <f>VLOOKUP(A10,[3]RESUMEN!$A:$AH,34,1)</f>
        <v>-1.7781049331020116</v>
      </c>
      <c r="N10" s="113">
        <f>VLOOKUP(A10,[3]RESUMEN!$A:$AI,35,1)</f>
        <v>-1.047369426260178</v>
      </c>
    </row>
    <row r="11" spans="1:14" x14ac:dyDescent="0.25">
      <c r="A11" s="102">
        <v>37708</v>
      </c>
      <c r="B11">
        <v>260</v>
      </c>
      <c r="C11">
        <v>441.25</v>
      </c>
      <c r="D11">
        <v>622.5</v>
      </c>
      <c r="E11">
        <v>730</v>
      </c>
      <c r="F11">
        <v>1.26</v>
      </c>
      <c r="G11">
        <v>1.1559999999999999</v>
      </c>
      <c r="H11">
        <v>1.651</v>
      </c>
      <c r="I11">
        <v>2.2010000000000001</v>
      </c>
      <c r="J11">
        <v>3.0590000000000002</v>
      </c>
      <c r="K11">
        <v>0.39188924169643158</v>
      </c>
      <c r="L11" s="112">
        <f>VLOOKUP(A11,[3]RESUMEN!$A:$AE,31,1)</f>
        <v>-0.31663391941834451</v>
      </c>
      <c r="M11" s="113">
        <f>VLOOKUP(A11,[3]RESUMEN!$A:$AH,34,1)</f>
        <v>-1.7781049331020116</v>
      </c>
      <c r="N11" s="113">
        <f>VLOOKUP(A11,[3]RESUMEN!$A:$AI,35,1)</f>
        <v>-1.047369426260178</v>
      </c>
    </row>
    <row r="12" spans="1:14" x14ac:dyDescent="0.25">
      <c r="A12" s="102">
        <v>37715</v>
      </c>
      <c r="B12">
        <v>220</v>
      </c>
      <c r="C12">
        <v>385</v>
      </c>
      <c r="D12">
        <v>550</v>
      </c>
      <c r="E12">
        <v>652.5</v>
      </c>
      <c r="F12">
        <v>1.22</v>
      </c>
      <c r="G12">
        <v>1.135</v>
      </c>
      <c r="H12">
        <v>1.657</v>
      </c>
      <c r="I12">
        <v>2.2029999999999998</v>
      </c>
      <c r="J12">
        <v>3.073</v>
      </c>
      <c r="K12">
        <v>0.35822139130466168</v>
      </c>
      <c r="L12" s="112">
        <f>VLOOKUP(A12,[3]RESUMEN!$A:$AE,31,1)</f>
        <v>-0.56016615544486192</v>
      </c>
      <c r="M12" s="113">
        <f>VLOOKUP(A12,[3]RESUMEN!$A:$AH,34,1)</f>
        <v>-1.5374556922780978</v>
      </c>
      <c r="N12" s="113">
        <f>VLOOKUP(A12,[3]RESUMEN!$A:$AI,35,1)</f>
        <v>-1.0488109238614798</v>
      </c>
    </row>
    <row r="13" spans="1:14" x14ac:dyDescent="0.25">
      <c r="A13" s="102">
        <v>37722</v>
      </c>
      <c r="B13">
        <v>230</v>
      </c>
      <c r="C13">
        <v>388.75</v>
      </c>
      <c r="D13">
        <v>547.5</v>
      </c>
      <c r="E13">
        <v>647.5</v>
      </c>
      <c r="F13">
        <v>1.24</v>
      </c>
      <c r="G13">
        <v>1.2290000000000001</v>
      </c>
      <c r="H13">
        <v>1.738</v>
      </c>
      <c r="I13">
        <v>2.2839999999999998</v>
      </c>
      <c r="J13">
        <v>3.13</v>
      </c>
      <c r="K13">
        <v>0.35613807626633653</v>
      </c>
      <c r="L13" s="112">
        <f>VLOOKUP(A13,[3]RESUMEN!$A:$AE,31,1)</f>
        <v>-0.56016615544486192</v>
      </c>
      <c r="M13" s="113">
        <f>VLOOKUP(A13,[3]RESUMEN!$A:$AH,34,1)</f>
        <v>-1.5374556922780978</v>
      </c>
      <c r="N13" s="113">
        <f>VLOOKUP(A13,[3]RESUMEN!$A:$AI,35,1)</f>
        <v>-1.0488109238614798</v>
      </c>
    </row>
    <row r="14" spans="1:14" x14ac:dyDescent="0.25">
      <c r="A14" s="102">
        <v>37729</v>
      </c>
      <c r="B14">
        <v>220</v>
      </c>
      <c r="C14">
        <v>376.25</v>
      </c>
      <c r="D14">
        <v>532.5</v>
      </c>
      <c r="E14">
        <v>627.5</v>
      </c>
      <c r="F14">
        <v>1.24</v>
      </c>
      <c r="G14">
        <v>1.264</v>
      </c>
      <c r="H14">
        <v>1.7730000000000001</v>
      </c>
      <c r="I14">
        <v>2.3279999999999998</v>
      </c>
      <c r="J14">
        <v>3.1339999999999999</v>
      </c>
      <c r="K14">
        <v>0.34710115392050322</v>
      </c>
      <c r="L14" s="112">
        <f>VLOOKUP(A14,[3]RESUMEN!$A:$AE,31,1)</f>
        <v>-0.56016615544486192</v>
      </c>
      <c r="M14" s="113">
        <f>VLOOKUP(A14,[3]RESUMEN!$A:$AH,34,1)</f>
        <v>-1.5374556922780978</v>
      </c>
      <c r="N14" s="113">
        <f>VLOOKUP(A14,[3]RESUMEN!$A:$AI,35,1)</f>
        <v>-1.0488109238614798</v>
      </c>
    </row>
    <row r="15" spans="1:14" x14ac:dyDescent="0.25">
      <c r="A15" s="102">
        <v>37736</v>
      </c>
      <c r="B15">
        <v>192.5</v>
      </c>
      <c r="C15">
        <v>347.5</v>
      </c>
      <c r="D15">
        <v>502.5</v>
      </c>
      <c r="E15">
        <v>600</v>
      </c>
      <c r="F15">
        <v>1.28</v>
      </c>
      <c r="G15">
        <v>1.153</v>
      </c>
      <c r="H15">
        <v>1.637</v>
      </c>
      <c r="I15">
        <v>2.1800000000000002</v>
      </c>
      <c r="J15">
        <v>3.028</v>
      </c>
      <c r="K15">
        <v>0.33495765848517378</v>
      </c>
      <c r="L15" s="112">
        <f>VLOOKUP(A15,[3]RESUMEN!$A:$AE,31,1)</f>
        <v>-0.56016615544486192</v>
      </c>
      <c r="M15" s="113">
        <f>VLOOKUP(A15,[3]RESUMEN!$A:$AH,34,1)</f>
        <v>-1.5374556922780978</v>
      </c>
      <c r="N15" s="113">
        <f>VLOOKUP(A15,[3]RESUMEN!$A:$AI,35,1)</f>
        <v>-1.0488109238614798</v>
      </c>
    </row>
    <row r="16" spans="1:14" x14ac:dyDescent="0.25">
      <c r="A16" s="102">
        <v>37743</v>
      </c>
      <c r="B16">
        <v>125</v>
      </c>
      <c r="C16">
        <v>270</v>
      </c>
      <c r="D16">
        <v>415</v>
      </c>
      <c r="E16">
        <v>502.5</v>
      </c>
      <c r="F16">
        <v>1.24</v>
      </c>
      <c r="G16">
        <v>1.173</v>
      </c>
      <c r="H16">
        <v>1.6259999999999999</v>
      </c>
      <c r="I16">
        <v>2.1739999999999999</v>
      </c>
      <c r="J16">
        <v>3.028</v>
      </c>
      <c r="K16">
        <v>0.2889733477482932</v>
      </c>
      <c r="L16" s="112">
        <f>VLOOKUP(A16,[3]RESUMEN!$A:$AE,31,1)</f>
        <v>-0.56016615544486192</v>
      </c>
      <c r="M16" s="113">
        <f>VLOOKUP(A16,[3]RESUMEN!$A:$AH,34,1)</f>
        <v>-1.5374556922780978</v>
      </c>
      <c r="N16" s="113">
        <f>VLOOKUP(A16,[3]RESUMEN!$A:$AI,35,1)</f>
        <v>-1.0488109238614798</v>
      </c>
    </row>
    <row r="17" spans="1:14" x14ac:dyDescent="0.25">
      <c r="A17" s="102">
        <v>37750</v>
      </c>
      <c r="B17">
        <v>160</v>
      </c>
      <c r="C17">
        <v>276.25</v>
      </c>
      <c r="D17">
        <v>392.5</v>
      </c>
      <c r="E17">
        <v>490</v>
      </c>
      <c r="F17">
        <v>1.24</v>
      </c>
      <c r="G17">
        <v>1.129</v>
      </c>
      <c r="H17">
        <v>1.476</v>
      </c>
      <c r="I17">
        <v>1.931</v>
      </c>
      <c r="J17">
        <v>2.7229999999999999</v>
      </c>
      <c r="K17">
        <v>0.28290329588551411</v>
      </c>
      <c r="L17" s="112">
        <f>VLOOKUP(A17,[3]RESUMEN!$A:$AE,31,1)</f>
        <v>-0.56016615544486192</v>
      </c>
      <c r="M17" s="113">
        <f>VLOOKUP(A17,[3]RESUMEN!$A:$AH,34,1)</f>
        <v>-1.5374556922780978</v>
      </c>
      <c r="N17" s="113">
        <f>VLOOKUP(A17,[3]RESUMEN!$A:$AI,35,1)</f>
        <v>-1.0488109238614798</v>
      </c>
    </row>
    <row r="18" spans="1:14" x14ac:dyDescent="0.25">
      <c r="A18" s="102">
        <v>37757</v>
      </c>
      <c r="B18">
        <v>215</v>
      </c>
      <c r="C18">
        <v>335</v>
      </c>
      <c r="D18">
        <v>455</v>
      </c>
      <c r="E18">
        <v>555</v>
      </c>
      <c r="F18">
        <v>1.26</v>
      </c>
      <c r="G18">
        <v>1.048</v>
      </c>
      <c r="H18">
        <v>1.359</v>
      </c>
      <c r="I18">
        <v>1.7890000000000001</v>
      </c>
      <c r="J18">
        <v>2.5270000000000001</v>
      </c>
      <c r="K18">
        <v>0.31373995935755283</v>
      </c>
      <c r="L18" s="112">
        <f>VLOOKUP(A18,[3]RESUMEN!$A:$AE,31,1)</f>
        <v>-0.56016615544486192</v>
      </c>
      <c r="M18" s="113">
        <f>VLOOKUP(A18,[3]RESUMEN!$A:$AH,34,1)</f>
        <v>-1.5374556922780978</v>
      </c>
      <c r="N18" s="113">
        <f>VLOOKUP(A18,[3]RESUMEN!$A:$AI,35,1)</f>
        <v>-1.0488109238614798</v>
      </c>
    </row>
    <row r="19" spans="1:14" x14ac:dyDescent="0.25">
      <c r="A19" s="102">
        <v>37764</v>
      </c>
      <c r="B19">
        <v>200</v>
      </c>
      <c r="C19">
        <v>333.75</v>
      </c>
      <c r="D19">
        <v>467.5</v>
      </c>
      <c r="E19">
        <v>560</v>
      </c>
      <c r="F19">
        <v>1.21</v>
      </c>
      <c r="G19">
        <v>1.0649999999999999</v>
      </c>
      <c r="H19">
        <v>1.377</v>
      </c>
      <c r="I19">
        <v>1.77</v>
      </c>
      <c r="J19">
        <v>2.4529999999999998</v>
      </c>
      <c r="K19">
        <v>0.31631886136896026</v>
      </c>
      <c r="L19" s="112">
        <f>VLOOKUP(A19,[3]RESUMEN!$A:$AE,31,1)</f>
        <v>-0.56016615544486192</v>
      </c>
      <c r="M19" s="113">
        <f>VLOOKUP(A19,[3]RESUMEN!$A:$AH,34,1)</f>
        <v>-1.5374556922780978</v>
      </c>
      <c r="N19" s="113">
        <f>VLOOKUP(A19,[3]RESUMEN!$A:$AI,35,1)</f>
        <v>-1.0488109238614798</v>
      </c>
    </row>
    <row r="20" spans="1:14" x14ac:dyDescent="0.25">
      <c r="A20" s="102">
        <v>37771</v>
      </c>
      <c r="B20">
        <v>180</v>
      </c>
      <c r="C20">
        <v>316.25</v>
      </c>
      <c r="D20">
        <v>452.5</v>
      </c>
      <c r="E20">
        <v>545</v>
      </c>
      <c r="F20">
        <v>1.28</v>
      </c>
      <c r="G20">
        <v>1.07</v>
      </c>
      <c r="H20">
        <v>1.339</v>
      </c>
      <c r="I20">
        <v>1.708</v>
      </c>
      <c r="J20">
        <v>2.4260000000000002</v>
      </c>
      <c r="K20">
        <v>0.30921424998389702</v>
      </c>
      <c r="L20" s="112">
        <f>VLOOKUP(A20,[3]RESUMEN!$A:$AE,31,1)</f>
        <v>-0.56016615544486192</v>
      </c>
      <c r="M20" s="113">
        <f>VLOOKUP(A20,[3]RESUMEN!$A:$AH,34,1)</f>
        <v>-1.5374556922780978</v>
      </c>
      <c r="N20" s="113">
        <f>VLOOKUP(A20,[3]RESUMEN!$A:$AI,35,1)</f>
        <v>-1.0488109238614798</v>
      </c>
    </row>
    <row r="21" spans="1:14" x14ac:dyDescent="0.25">
      <c r="A21" s="102">
        <v>37778</v>
      </c>
      <c r="B21">
        <v>175</v>
      </c>
      <c r="C21">
        <v>296.25</v>
      </c>
      <c r="D21">
        <v>417.5</v>
      </c>
      <c r="E21">
        <v>517.5</v>
      </c>
      <c r="F21">
        <v>1.24</v>
      </c>
      <c r="G21">
        <v>0.99099999999999999</v>
      </c>
      <c r="H21">
        <v>1.2610000000000001</v>
      </c>
      <c r="I21">
        <v>1.6480000000000001</v>
      </c>
      <c r="J21">
        <v>2.3919999999999999</v>
      </c>
      <c r="K21">
        <v>0.29623128867979431</v>
      </c>
      <c r="L21" s="112">
        <f>VLOOKUP(A21,[3]RESUMEN!$A:$AE,31,1)</f>
        <v>-0.56016615544486192</v>
      </c>
      <c r="M21" s="113">
        <f>VLOOKUP(A21,[3]RESUMEN!$A:$AH,34,1)</f>
        <v>-1.5374556922780978</v>
      </c>
      <c r="N21" s="113">
        <f>VLOOKUP(A21,[3]RESUMEN!$A:$AI,35,1)</f>
        <v>-1.0488109238614798</v>
      </c>
    </row>
    <row r="22" spans="1:14" x14ac:dyDescent="0.25">
      <c r="A22" s="102">
        <v>37785</v>
      </c>
      <c r="B22">
        <v>177.5</v>
      </c>
      <c r="C22">
        <v>297.5</v>
      </c>
      <c r="D22">
        <v>417.5</v>
      </c>
      <c r="E22">
        <v>510</v>
      </c>
      <c r="F22">
        <v>1.24</v>
      </c>
      <c r="G22">
        <v>0.83599999999999997</v>
      </c>
      <c r="H22">
        <v>1.097</v>
      </c>
      <c r="I22">
        <v>1.4610000000000001</v>
      </c>
      <c r="J22">
        <v>2.17</v>
      </c>
      <c r="K22">
        <v>0.29239085383454377</v>
      </c>
      <c r="L22" s="112">
        <f>VLOOKUP(A22,[3]RESUMEN!$A:$AE,31,1)</f>
        <v>-0.56016615544486192</v>
      </c>
      <c r="M22" s="113">
        <f>VLOOKUP(A22,[3]RESUMEN!$A:$AH,34,1)</f>
        <v>-1.5374556922780978</v>
      </c>
      <c r="N22" s="113">
        <f>VLOOKUP(A22,[3]RESUMEN!$A:$AI,35,1)</f>
        <v>-1.0488109238614798</v>
      </c>
    </row>
    <row r="23" spans="1:14" x14ac:dyDescent="0.25">
      <c r="A23" s="102">
        <v>37792</v>
      </c>
      <c r="B23">
        <v>140</v>
      </c>
      <c r="C23">
        <v>272.5</v>
      </c>
      <c r="D23">
        <v>405</v>
      </c>
      <c r="E23">
        <v>530</v>
      </c>
      <c r="F23">
        <v>1.23</v>
      </c>
      <c r="G23">
        <v>0.88700000000000001</v>
      </c>
      <c r="H23">
        <v>1.22</v>
      </c>
      <c r="I23">
        <v>1.6659999999999999</v>
      </c>
      <c r="J23">
        <v>2.4580000000000002</v>
      </c>
      <c r="K23">
        <v>0.3033967443790454</v>
      </c>
      <c r="L23" s="112">
        <f>VLOOKUP(A23,[3]RESUMEN!$A:$AE,31,1)</f>
        <v>-0.56016615544486192</v>
      </c>
      <c r="M23" s="113">
        <f>VLOOKUP(A23,[3]RESUMEN!$A:$AH,34,1)</f>
        <v>-1.5374556922780978</v>
      </c>
      <c r="N23" s="113">
        <f>VLOOKUP(A23,[3]RESUMEN!$A:$AI,35,1)</f>
        <v>-1.0488109238614798</v>
      </c>
    </row>
    <row r="24" spans="1:14" x14ac:dyDescent="0.25">
      <c r="A24" s="102">
        <v>37799</v>
      </c>
      <c r="B24">
        <v>137.5</v>
      </c>
      <c r="C24">
        <v>267.5</v>
      </c>
      <c r="D24">
        <v>397.5</v>
      </c>
      <c r="E24">
        <v>510</v>
      </c>
      <c r="F24">
        <v>1.08</v>
      </c>
      <c r="G24">
        <v>1.0329999999999999</v>
      </c>
      <c r="H24">
        <v>1.401</v>
      </c>
      <c r="I24">
        <v>1.849</v>
      </c>
      <c r="J24">
        <v>2.617</v>
      </c>
      <c r="K24">
        <v>0.29336517278412777</v>
      </c>
      <c r="L24" s="112">
        <f>VLOOKUP(A24,[3]RESUMEN!$A:$AE,31,1)</f>
        <v>-0.56016615544486192</v>
      </c>
      <c r="M24" s="113">
        <f>VLOOKUP(A24,[3]RESUMEN!$A:$AH,34,1)</f>
        <v>-1.5374556922780978</v>
      </c>
      <c r="N24" s="113">
        <f>VLOOKUP(A24,[3]RESUMEN!$A:$AI,35,1)</f>
        <v>-1.0488109238614798</v>
      </c>
    </row>
    <row r="25" spans="1:14" x14ac:dyDescent="0.25">
      <c r="A25" s="102">
        <v>37806</v>
      </c>
      <c r="B25">
        <v>155</v>
      </c>
      <c r="C25">
        <v>282.5</v>
      </c>
      <c r="D25">
        <v>410</v>
      </c>
      <c r="E25">
        <v>515</v>
      </c>
      <c r="F25">
        <v>0.96</v>
      </c>
      <c r="G25">
        <v>1.008</v>
      </c>
      <c r="H25">
        <v>1.357</v>
      </c>
      <c r="I25">
        <v>1.81</v>
      </c>
      <c r="J25">
        <v>2.6280000000000001</v>
      </c>
      <c r="K25">
        <v>0.29581464518870026</v>
      </c>
      <c r="L25" s="112">
        <f>VLOOKUP(A25,[3]RESUMEN!$A:$AE,31,1)</f>
        <v>-0.56944819366678712</v>
      </c>
      <c r="M25" s="113">
        <f>VLOOKUP(A25,[3]RESUMEN!$A:$AH,34,1)</f>
        <v>-0.50944376815805015</v>
      </c>
      <c r="N25" s="113">
        <f>VLOOKUP(A25,[3]RESUMEN!$A:$AI,35,1)</f>
        <v>-0.53944598091241858</v>
      </c>
    </row>
    <row r="26" spans="1:14" x14ac:dyDescent="0.25">
      <c r="A26" s="102">
        <v>37813</v>
      </c>
      <c r="B26">
        <v>150</v>
      </c>
      <c r="C26">
        <v>280</v>
      </c>
      <c r="D26">
        <v>410</v>
      </c>
      <c r="E26">
        <v>517.5</v>
      </c>
      <c r="F26">
        <v>0.98</v>
      </c>
      <c r="G26">
        <v>0.998</v>
      </c>
      <c r="H26">
        <v>1.349</v>
      </c>
      <c r="I26">
        <v>1.8180000000000001</v>
      </c>
      <c r="J26">
        <v>2.6360000000000001</v>
      </c>
      <c r="K26">
        <v>0.29676981932655677</v>
      </c>
      <c r="L26" s="112">
        <f>VLOOKUP(A26,[3]RESUMEN!$A:$AE,31,1)</f>
        <v>-0.56944819366678712</v>
      </c>
      <c r="M26" s="113">
        <f>VLOOKUP(A26,[3]RESUMEN!$A:$AH,34,1)</f>
        <v>-0.50944376815805015</v>
      </c>
      <c r="N26" s="113">
        <f>VLOOKUP(A26,[3]RESUMEN!$A:$AI,35,1)</f>
        <v>-0.53944598091241858</v>
      </c>
    </row>
    <row r="27" spans="1:14" x14ac:dyDescent="0.25">
      <c r="A27" s="102">
        <v>37820</v>
      </c>
      <c r="B27">
        <v>142.5</v>
      </c>
      <c r="C27">
        <v>271.25</v>
      </c>
      <c r="D27">
        <v>400</v>
      </c>
      <c r="E27">
        <v>507.5</v>
      </c>
      <c r="F27">
        <v>0.99</v>
      </c>
      <c r="G27">
        <v>1.0469999999999999</v>
      </c>
      <c r="H27">
        <v>1.5409999999999999</v>
      </c>
      <c r="I27">
        <v>2.117</v>
      </c>
      <c r="J27">
        <v>3.016</v>
      </c>
      <c r="K27">
        <v>0.29196824950520239</v>
      </c>
      <c r="L27" s="112">
        <f>VLOOKUP(A27,[3]RESUMEN!$A:$AE,31,1)</f>
        <v>-0.56944819366678712</v>
      </c>
      <c r="M27" s="113">
        <f>VLOOKUP(A27,[3]RESUMEN!$A:$AH,34,1)</f>
        <v>-0.50944376815805015</v>
      </c>
      <c r="N27" s="113">
        <f>VLOOKUP(A27,[3]RESUMEN!$A:$AI,35,1)</f>
        <v>-0.53944598091241858</v>
      </c>
    </row>
    <row r="28" spans="1:14" x14ac:dyDescent="0.25">
      <c r="A28" s="102">
        <v>37827</v>
      </c>
      <c r="B28">
        <v>130</v>
      </c>
      <c r="C28">
        <v>250</v>
      </c>
      <c r="D28">
        <v>370</v>
      </c>
      <c r="E28">
        <v>490</v>
      </c>
      <c r="F28">
        <v>1.03</v>
      </c>
      <c r="G28">
        <v>1.0469999999999999</v>
      </c>
      <c r="H28">
        <v>1.5590000000000002</v>
      </c>
      <c r="I28">
        <v>2.1909999999999998</v>
      </c>
      <c r="J28">
        <v>3.1989999999999998</v>
      </c>
      <c r="K28">
        <v>0.2838288158647454</v>
      </c>
      <c r="L28" s="112">
        <f>VLOOKUP(A28,[3]RESUMEN!$A:$AE,31,1)</f>
        <v>-0.56944819366678712</v>
      </c>
      <c r="M28" s="113">
        <f>VLOOKUP(A28,[3]RESUMEN!$A:$AH,34,1)</f>
        <v>-0.50944376815805015</v>
      </c>
      <c r="N28" s="113">
        <f>VLOOKUP(A28,[3]RESUMEN!$A:$AI,35,1)</f>
        <v>-0.53944598091241858</v>
      </c>
    </row>
    <row r="29" spans="1:14" x14ac:dyDescent="0.25">
      <c r="A29" s="102">
        <v>37834</v>
      </c>
      <c r="B29">
        <v>155</v>
      </c>
      <c r="C29">
        <v>268.75</v>
      </c>
      <c r="D29">
        <v>382.5</v>
      </c>
      <c r="E29">
        <v>522.5</v>
      </c>
      <c r="F29">
        <v>1</v>
      </c>
      <c r="G29">
        <v>1.258</v>
      </c>
      <c r="H29">
        <v>2.0259999999999998</v>
      </c>
      <c r="I29">
        <v>2.74</v>
      </c>
      <c r="J29">
        <v>3.7450000000000001</v>
      </c>
      <c r="K29">
        <v>0.29998162756140279</v>
      </c>
      <c r="L29" s="112">
        <f>VLOOKUP(A29,[3]RESUMEN!$A:$AE,31,1)</f>
        <v>-0.56944819366678712</v>
      </c>
      <c r="M29" s="113">
        <f>VLOOKUP(A29,[3]RESUMEN!$A:$AH,34,1)</f>
        <v>-0.50944376815805015</v>
      </c>
      <c r="N29" s="113">
        <f>VLOOKUP(A29,[3]RESUMEN!$A:$AI,35,1)</f>
        <v>-0.53944598091241858</v>
      </c>
    </row>
    <row r="30" spans="1:14" x14ac:dyDescent="0.25">
      <c r="A30" s="102">
        <v>37841</v>
      </c>
      <c r="B30">
        <v>185</v>
      </c>
      <c r="C30">
        <v>307.5</v>
      </c>
      <c r="D30">
        <v>430</v>
      </c>
      <c r="E30">
        <v>550</v>
      </c>
      <c r="F30">
        <v>0.96</v>
      </c>
      <c r="G30">
        <v>1.1719999999999999</v>
      </c>
      <c r="H30">
        <v>1.784</v>
      </c>
      <c r="I30">
        <v>2.3929999999999998</v>
      </c>
      <c r="J30">
        <v>3.35</v>
      </c>
      <c r="K30">
        <v>0.31230719252264139</v>
      </c>
      <c r="L30" s="112">
        <f>VLOOKUP(A30,[3]RESUMEN!$A:$AE,31,1)</f>
        <v>-0.56944819366678712</v>
      </c>
      <c r="M30" s="113">
        <f>VLOOKUP(A30,[3]RESUMEN!$A:$AH,34,1)</f>
        <v>-0.50944376815805015</v>
      </c>
      <c r="N30" s="113">
        <f>VLOOKUP(A30,[3]RESUMEN!$A:$AI,35,1)</f>
        <v>-0.53944598091241858</v>
      </c>
    </row>
    <row r="31" spans="1:14" x14ac:dyDescent="0.25">
      <c r="A31" s="102">
        <v>37848</v>
      </c>
      <c r="B31">
        <v>162.5</v>
      </c>
      <c r="C31">
        <v>290</v>
      </c>
      <c r="D31">
        <v>417.5</v>
      </c>
      <c r="E31">
        <v>529</v>
      </c>
      <c r="F31">
        <v>1.3900000000000001</v>
      </c>
      <c r="G31">
        <v>1.222</v>
      </c>
      <c r="H31">
        <v>1.94</v>
      </c>
      <c r="I31">
        <v>2.4270999999999998</v>
      </c>
      <c r="J31">
        <v>3.6509999999999998</v>
      </c>
      <c r="K31">
        <v>0.30227560076321303</v>
      </c>
      <c r="L31" s="112">
        <f>VLOOKUP(A31,[3]RESUMEN!$A:$AE,31,1)</f>
        <v>-0.56944819366678712</v>
      </c>
      <c r="M31" s="113">
        <f>VLOOKUP(A31,[3]RESUMEN!$A:$AH,34,1)</f>
        <v>-0.50944376815805015</v>
      </c>
      <c r="N31" s="113">
        <f>VLOOKUP(A31,[3]RESUMEN!$A:$AI,35,1)</f>
        <v>-0.53944598091241858</v>
      </c>
    </row>
    <row r="32" spans="1:14" x14ac:dyDescent="0.25">
      <c r="A32" s="102">
        <v>37855</v>
      </c>
      <c r="B32">
        <v>134.89699999999999</v>
      </c>
      <c r="C32">
        <v>242.22149999999999</v>
      </c>
      <c r="D32">
        <v>349.54599999999999</v>
      </c>
      <c r="E32">
        <v>461.71800000000002</v>
      </c>
      <c r="F32">
        <v>0.99</v>
      </c>
      <c r="G32">
        <v>1.278</v>
      </c>
      <c r="H32">
        <v>2.0535000000000001</v>
      </c>
      <c r="I32">
        <v>2.4270999999999998</v>
      </c>
      <c r="J32">
        <v>3.706</v>
      </c>
      <c r="K32">
        <v>0.26942551819257465</v>
      </c>
      <c r="L32" s="112">
        <f>VLOOKUP(A32,[3]RESUMEN!$A:$AE,31,1)</f>
        <v>-0.56944819366678712</v>
      </c>
      <c r="M32" s="113">
        <f>VLOOKUP(A32,[3]RESUMEN!$A:$AH,34,1)</f>
        <v>-0.50944376815805015</v>
      </c>
      <c r="N32" s="113">
        <f>VLOOKUP(A32,[3]RESUMEN!$A:$AI,35,1)</f>
        <v>-0.53944598091241858</v>
      </c>
    </row>
    <row r="33" spans="1:14" x14ac:dyDescent="0.25">
      <c r="A33" s="102">
        <v>37862</v>
      </c>
      <c r="B33">
        <v>137.398</v>
      </c>
      <c r="C33">
        <v>245.96850000000001</v>
      </c>
      <c r="D33">
        <v>354.53899999999999</v>
      </c>
      <c r="E33">
        <v>474.18700000000001</v>
      </c>
      <c r="F33">
        <v>1.01</v>
      </c>
      <c r="G33">
        <v>1.27</v>
      </c>
      <c r="H33">
        <v>2.0659999999999998</v>
      </c>
      <c r="I33">
        <v>2.4270999999999998</v>
      </c>
      <c r="J33">
        <v>3.7359999999999998</v>
      </c>
      <c r="K33">
        <v>0.27587863174487648</v>
      </c>
      <c r="L33" s="112">
        <f>VLOOKUP(A33,[3]RESUMEN!$A:$AE,31,1)</f>
        <v>-0.56944819366678712</v>
      </c>
      <c r="M33" s="113">
        <f>VLOOKUP(A33,[3]RESUMEN!$A:$AH,34,1)</f>
        <v>-0.50944376815805015</v>
      </c>
      <c r="N33" s="113">
        <f>VLOOKUP(A33,[3]RESUMEN!$A:$AI,35,1)</f>
        <v>-0.53944598091241858</v>
      </c>
    </row>
    <row r="34" spans="1:14" x14ac:dyDescent="0.25">
      <c r="A34" s="102">
        <v>37869</v>
      </c>
      <c r="B34">
        <v>139.905</v>
      </c>
      <c r="C34">
        <v>249.74</v>
      </c>
      <c r="D34">
        <v>359.57499999999999</v>
      </c>
      <c r="E34">
        <v>474.23899999999998</v>
      </c>
      <c r="F34">
        <v>0.96</v>
      </c>
      <c r="G34">
        <v>1.155</v>
      </c>
      <c r="H34">
        <v>1.837</v>
      </c>
      <c r="I34">
        <v>2.4270999999999998</v>
      </c>
      <c r="J34">
        <v>3.548</v>
      </c>
      <c r="K34">
        <v>0.27587863174487648</v>
      </c>
      <c r="L34" s="112">
        <f>VLOOKUP(A34,[3]RESUMEN!$A:$AE,31,1)</f>
        <v>-0.56944819366678712</v>
      </c>
      <c r="M34" s="113">
        <f>VLOOKUP(A34,[3]RESUMEN!$A:$AH,34,1)</f>
        <v>-0.50944376815805015</v>
      </c>
      <c r="N34" s="113">
        <f>VLOOKUP(A34,[3]RESUMEN!$A:$AI,35,1)</f>
        <v>-0.53944598091241858</v>
      </c>
    </row>
    <row r="35" spans="1:14" x14ac:dyDescent="0.25">
      <c r="A35" s="102">
        <v>37876</v>
      </c>
      <c r="B35">
        <v>142.40700000000001</v>
      </c>
      <c r="C35">
        <v>246.00150000000002</v>
      </c>
      <c r="D35">
        <v>349.596</v>
      </c>
      <c r="E35">
        <v>476.77100000000002</v>
      </c>
      <c r="F35">
        <v>1.02</v>
      </c>
      <c r="G35">
        <v>1.145</v>
      </c>
      <c r="H35">
        <v>1.7429999999999999</v>
      </c>
      <c r="I35">
        <v>2.4270999999999998</v>
      </c>
      <c r="J35">
        <v>3.3609999999999998</v>
      </c>
      <c r="K35">
        <v>0.27732253894269365</v>
      </c>
      <c r="L35" s="112">
        <f>VLOOKUP(A35,[3]RESUMEN!$A:$AE,31,1)</f>
        <v>-0.56944819366678712</v>
      </c>
      <c r="M35" s="113">
        <f>VLOOKUP(A35,[3]RESUMEN!$A:$AH,34,1)</f>
        <v>-0.50944376815805015</v>
      </c>
      <c r="N35" s="113">
        <f>VLOOKUP(A35,[3]RESUMEN!$A:$AI,35,1)</f>
        <v>-0.53944598091241858</v>
      </c>
    </row>
    <row r="36" spans="1:14" x14ac:dyDescent="0.25">
      <c r="A36" s="102">
        <v>37883</v>
      </c>
      <c r="B36">
        <v>123.407</v>
      </c>
      <c r="C36">
        <v>229.50700000000001</v>
      </c>
      <c r="D36">
        <v>335.60700000000003</v>
      </c>
      <c r="E36">
        <v>472.78199999999998</v>
      </c>
      <c r="F36">
        <v>0.99</v>
      </c>
      <c r="G36">
        <v>1.1519999999999999</v>
      </c>
      <c r="H36">
        <v>1.78</v>
      </c>
      <c r="I36">
        <v>2.4270999999999998</v>
      </c>
      <c r="J36">
        <v>3.3079999999999998</v>
      </c>
      <c r="K36">
        <v>0.27579557551053568</v>
      </c>
      <c r="L36" s="112">
        <f>VLOOKUP(A36,[3]RESUMEN!$A:$AE,31,1)</f>
        <v>-0.56944819366678712</v>
      </c>
      <c r="M36" s="113">
        <f>VLOOKUP(A36,[3]RESUMEN!$A:$AH,34,1)</f>
        <v>-0.50944376815805015</v>
      </c>
      <c r="N36" s="113">
        <f>VLOOKUP(A36,[3]RESUMEN!$A:$AI,35,1)</f>
        <v>-0.53944598091241858</v>
      </c>
    </row>
    <row r="37" spans="1:14" x14ac:dyDescent="0.25">
      <c r="A37" s="102">
        <v>37890</v>
      </c>
      <c r="B37">
        <v>139.90799999999999</v>
      </c>
      <c r="C37">
        <v>246.012</v>
      </c>
      <c r="D37">
        <v>352.11599999999999</v>
      </c>
      <c r="E37">
        <v>489.298</v>
      </c>
      <c r="F37">
        <v>1.03</v>
      </c>
      <c r="G37">
        <v>1.123</v>
      </c>
      <c r="H37">
        <v>1.6640000000000001</v>
      </c>
      <c r="I37">
        <v>2.4270999999999998</v>
      </c>
      <c r="J37">
        <v>3.1640000000000001</v>
      </c>
      <c r="K37">
        <v>0.28383595227259983</v>
      </c>
      <c r="L37" s="112">
        <f>VLOOKUP(A37,[3]RESUMEN!$A:$AE,31,1)</f>
        <v>-0.56944819366678712</v>
      </c>
      <c r="M37" s="113">
        <f>VLOOKUP(A37,[3]RESUMEN!$A:$AH,34,1)</f>
        <v>-0.50944376815805015</v>
      </c>
      <c r="N37" s="113">
        <f>VLOOKUP(A37,[3]RESUMEN!$A:$AI,35,1)</f>
        <v>-0.53944598091241858</v>
      </c>
    </row>
    <row r="38" spans="1:14" x14ac:dyDescent="0.25">
      <c r="A38" s="102">
        <v>37897</v>
      </c>
      <c r="B38">
        <v>147.40100000000001</v>
      </c>
      <c r="C38">
        <v>257.245</v>
      </c>
      <c r="D38">
        <v>367.089</v>
      </c>
      <c r="E38">
        <v>514.22900000000004</v>
      </c>
      <c r="F38">
        <v>0.99</v>
      </c>
      <c r="G38">
        <v>1.181</v>
      </c>
      <c r="H38">
        <v>1.8120000000000001</v>
      </c>
      <c r="I38">
        <v>2.4270999999999998</v>
      </c>
      <c r="J38">
        <v>3.36</v>
      </c>
      <c r="K38">
        <v>0.29627051961562356</v>
      </c>
      <c r="L38" s="112">
        <f>VLOOKUP(A38,[3]RESUMEN!$A:$AE,31,1)</f>
        <v>-0.49862981583514321</v>
      </c>
      <c r="M38" s="113">
        <f>VLOOKUP(A38,[3]RESUMEN!$A:$AH,34,1)</f>
        <v>-0.44683744675100334</v>
      </c>
      <c r="N38" s="113">
        <f>VLOOKUP(A38,[3]RESUMEN!$A:$AI,35,1)</f>
        <v>-0.47273363129307328</v>
      </c>
    </row>
    <row r="39" spans="1:14" x14ac:dyDescent="0.25">
      <c r="A39" s="102">
        <v>37904</v>
      </c>
      <c r="B39">
        <v>119.913</v>
      </c>
      <c r="C39">
        <v>221.01900000000001</v>
      </c>
      <c r="D39">
        <v>322.125</v>
      </c>
      <c r="E39">
        <v>456.80799999999999</v>
      </c>
      <c r="F39">
        <v>1</v>
      </c>
      <c r="G39">
        <v>1.1679999999999999</v>
      </c>
      <c r="H39">
        <v>1.7810000000000001</v>
      </c>
      <c r="I39">
        <v>2.4270999999999998</v>
      </c>
      <c r="J39">
        <v>3.3519999999999999</v>
      </c>
      <c r="K39">
        <v>0.26771637033684925</v>
      </c>
      <c r="L39" s="112">
        <f>VLOOKUP(A39,[3]RESUMEN!$A:$AE,31,1)</f>
        <v>-0.49862981583514321</v>
      </c>
      <c r="M39" s="113">
        <f>VLOOKUP(A39,[3]RESUMEN!$A:$AH,34,1)</f>
        <v>-0.44683744675100334</v>
      </c>
      <c r="N39" s="113">
        <f>VLOOKUP(A39,[3]RESUMEN!$A:$AI,35,1)</f>
        <v>-0.47273363129307328</v>
      </c>
    </row>
    <row r="40" spans="1:14" x14ac:dyDescent="0.25">
      <c r="A40" s="102">
        <v>37911</v>
      </c>
      <c r="B40">
        <v>99.915999999999997</v>
      </c>
      <c r="C40">
        <v>199.76400000000001</v>
      </c>
      <c r="D40">
        <v>299.61200000000002</v>
      </c>
      <c r="E40">
        <v>429.30900000000003</v>
      </c>
      <c r="F40">
        <v>0.98</v>
      </c>
      <c r="G40">
        <v>1.3220000000000001</v>
      </c>
      <c r="H40">
        <v>2.0449999999999999</v>
      </c>
      <c r="I40">
        <v>2.4270999999999998</v>
      </c>
      <c r="J40">
        <v>3.5880000000000001</v>
      </c>
      <c r="K40">
        <v>0.25371685415866785</v>
      </c>
      <c r="L40" s="112">
        <f>VLOOKUP(A40,[3]RESUMEN!$A:$AE,31,1)</f>
        <v>-0.49862981583514321</v>
      </c>
      <c r="M40" s="113">
        <f>VLOOKUP(A40,[3]RESUMEN!$A:$AH,34,1)</f>
        <v>-0.44683744675100334</v>
      </c>
      <c r="N40" s="113">
        <f>VLOOKUP(A40,[3]RESUMEN!$A:$AI,35,1)</f>
        <v>-0.47273363129307328</v>
      </c>
    </row>
    <row r="41" spans="1:14" x14ac:dyDescent="0.25">
      <c r="A41" s="102">
        <v>37918</v>
      </c>
      <c r="B41">
        <v>119.91800000000001</v>
      </c>
      <c r="C41">
        <v>219.76500000000001</v>
      </c>
      <c r="D41">
        <v>319.61200000000002</v>
      </c>
      <c r="E41">
        <v>456.798</v>
      </c>
      <c r="F41">
        <v>1.01</v>
      </c>
      <c r="G41">
        <v>1.286</v>
      </c>
      <c r="H41">
        <v>1.9449999999999998</v>
      </c>
      <c r="I41">
        <v>2.4270999999999998</v>
      </c>
      <c r="J41">
        <v>3.3919999999999999</v>
      </c>
      <c r="K41">
        <v>0.26773683126656378</v>
      </c>
      <c r="L41" s="112">
        <f>VLOOKUP(A41,[3]RESUMEN!$A:$AE,31,1)</f>
        <v>-0.49862981583514321</v>
      </c>
      <c r="M41" s="113">
        <f>VLOOKUP(A41,[3]RESUMEN!$A:$AH,34,1)</f>
        <v>-0.44683744675100334</v>
      </c>
      <c r="N41" s="113">
        <f>VLOOKUP(A41,[3]RESUMEN!$A:$AI,35,1)</f>
        <v>-0.47273363129307328</v>
      </c>
    </row>
    <row r="42" spans="1:14" x14ac:dyDescent="0.25">
      <c r="A42" s="102">
        <v>37925</v>
      </c>
      <c r="B42">
        <v>137.40299999999999</v>
      </c>
      <c r="C42">
        <v>242.23950000000002</v>
      </c>
      <c r="D42">
        <v>347.07600000000002</v>
      </c>
      <c r="E42">
        <v>479.245</v>
      </c>
      <c r="F42">
        <v>1.03</v>
      </c>
      <c r="G42">
        <v>1.2925</v>
      </c>
      <c r="H42">
        <v>2.0059999999999998</v>
      </c>
      <c r="I42">
        <v>2.4270999999999998</v>
      </c>
      <c r="J42">
        <v>3.508</v>
      </c>
      <c r="K42">
        <v>0.27871735900780759</v>
      </c>
      <c r="L42" s="112">
        <f>VLOOKUP(A42,[3]RESUMEN!$A:$AE,31,1)</f>
        <v>-0.49862981583514321</v>
      </c>
      <c r="M42" s="113">
        <f>VLOOKUP(A42,[3]RESUMEN!$A:$AH,34,1)</f>
        <v>-0.44683744675100334</v>
      </c>
      <c r="N42" s="113">
        <f>VLOOKUP(A42,[3]RESUMEN!$A:$AI,35,1)</f>
        <v>-0.47273363129307328</v>
      </c>
    </row>
    <row r="43" spans="1:14" x14ac:dyDescent="0.25">
      <c r="A43" s="102">
        <v>37932</v>
      </c>
      <c r="B43">
        <v>132.39500000000001</v>
      </c>
      <c r="C43">
        <v>238.46500000000003</v>
      </c>
      <c r="D43">
        <v>344.53500000000003</v>
      </c>
      <c r="E43">
        <v>476.69200000000001</v>
      </c>
      <c r="F43">
        <v>0.98</v>
      </c>
      <c r="G43">
        <v>1.4060000000000001</v>
      </c>
      <c r="H43">
        <v>2.1869999999999998</v>
      </c>
      <c r="I43">
        <v>2.4270999999999998</v>
      </c>
      <c r="J43">
        <v>3.68</v>
      </c>
      <c r="K43">
        <v>0.27752245384801777</v>
      </c>
      <c r="L43" s="112">
        <f>VLOOKUP(A43,[3]RESUMEN!$A:$AE,31,1)</f>
        <v>-0.49862981583514321</v>
      </c>
      <c r="M43" s="113">
        <f>VLOOKUP(A43,[3]RESUMEN!$A:$AH,34,1)</f>
        <v>-0.44683744675100334</v>
      </c>
      <c r="N43" s="113">
        <f>VLOOKUP(A43,[3]RESUMEN!$A:$AI,35,1)</f>
        <v>-0.47273363129307328</v>
      </c>
    </row>
    <row r="44" spans="1:14" x14ac:dyDescent="0.25">
      <c r="A44" s="102">
        <v>37939</v>
      </c>
      <c r="B44">
        <v>137.404</v>
      </c>
      <c r="C44">
        <v>248.48</v>
      </c>
      <c r="D44">
        <v>359.55599999999998</v>
      </c>
      <c r="E44">
        <v>484.24799999999999</v>
      </c>
      <c r="F44">
        <v>0.98</v>
      </c>
      <c r="G44">
        <v>1.28</v>
      </c>
      <c r="H44">
        <v>1.954</v>
      </c>
      <c r="I44">
        <v>2.4270999999999998</v>
      </c>
      <c r="J44">
        <v>3.3879999999999999</v>
      </c>
      <c r="K44">
        <v>0.28103269776371353</v>
      </c>
      <c r="L44" s="112">
        <f>VLOOKUP(A44,[3]RESUMEN!$A:$AE,31,1)</f>
        <v>-0.49862981583514321</v>
      </c>
      <c r="M44" s="113">
        <f>VLOOKUP(A44,[3]RESUMEN!$A:$AH,34,1)</f>
        <v>-0.44683744675100334</v>
      </c>
      <c r="N44" s="113">
        <f>VLOOKUP(A44,[3]RESUMEN!$A:$AI,35,1)</f>
        <v>-0.47273363129307328</v>
      </c>
    </row>
    <row r="45" spans="1:14" x14ac:dyDescent="0.25">
      <c r="A45" s="102">
        <v>37946</v>
      </c>
      <c r="B45">
        <v>129.93899999999999</v>
      </c>
      <c r="C45">
        <v>245.65499999999997</v>
      </c>
      <c r="D45">
        <v>361.37099999999998</v>
      </c>
      <c r="E45">
        <v>479.50400000000002</v>
      </c>
      <c r="F45">
        <v>0.98</v>
      </c>
      <c r="G45">
        <v>1.2889999999999999</v>
      </c>
      <c r="H45">
        <v>1.9664999999999999</v>
      </c>
      <c r="I45">
        <v>2.4270999999999998</v>
      </c>
      <c r="J45">
        <v>3.3210000000000002</v>
      </c>
      <c r="K45">
        <v>0.27865662372086542</v>
      </c>
      <c r="L45" s="112">
        <f>VLOOKUP(A45,[3]RESUMEN!$A:$AE,31,1)</f>
        <v>-0.49862981583514321</v>
      </c>
      <c r="M45" s="113">
        <f>VLOOKUP(A45,[3]RESUMEN!$A:$AH,34,1)</f>
        <v>-0.44683744675100334</v>
      </c>
      <c r="N45" s="113">
        <f>VLOOKUP(A45,[3]RESUMEN!$A:$AI,35,1)</f>
        <v>-0.47273363129307328</v>
      </c>
    </row>
    <row r="46" spans="1:14" x14ac:dyDescent="0.25">
      <c r="A46" s="102">
        <v>37953</v>
      </c>
      <c r="B46">
        <v>129.904</v>
      </c>
      <c r="C46">
        <v>243.47</v>
      </c>
      <c r="D46">
        <v>357.036</v>
      </c>
      <c r="E46">
        <v>476.72699999999998</v>
      </c>
      <c r="F46">
        <v>1.01</v>
      </c>
      <c r="G46">
        <v>1.4279999999999999</v>
      </c>
      <c r="H46">
        <v>2.1669999999999998</v>
      </c>
      <c r="I46">
        <v>2.4270999999999998</v>
      </c>
      <c r="J46">
        <v>3.5350000000000001</v>
      </c>
      <c r="K46">
        <v>0.27722034795531136</v>
      </c>
      <c r="L46" s="112">
        <f>VLOOKUP(A46,[3]RESUMEN!$A:$AE,31,1)</f>
        <v>-0.49862981583514321</v>
      </c>
      <c r="M46" s="113">
        <f>VLOOKUP(A46,[3]RESUMEN!$A:$AH,34,1)</f>
        <v>-0.44683744675100334</v>
      </c>
      <c r="N46" s="113">
        <f>VLOOKUP(A46,[3]RESUMEN!$A:$AI,35,1)</f>
        <v>-0.47273363129307328</v>
      </c>
    </row>
    <row r="47" spans="1:14" x14ac:dyDescent="0.25">
      <c r="A47" s="102">
        <v>37960</v>
      </c>
      <c r="B47">
        <v>118.27500000000001</v>
      </c>
      <c r="C47">
        <v>227.334</v>
      </c>
      <c r="D47">
        <v>336.39299999999997</v>
      </c>
      <c r="E47">
        <v>451.21199999999999</v>
      </c>
      <c r="F47">
        <v>0.98</v>
      </c>
      <c r="G47">
        <v>1.3140000000000001</v>
      </c>
      <c r="H47">
        <v>2.008</v>
      </c>
      <c r="I47">
        <v>2.4270999999999998</v>
      </c>
      <c r="J47">
        <v>3.3780000000000001</v>
      </c>
      <c r="K47">
        <v>0.26435817202701017</v>
      </c>
      <c r="L47" s="112">
        <f>VLOOKUP(A47,[3]RESUMEN!$A:$AE,31,1)</f>
        <v>-0.49862981583514321</v>
      </c>
      <c r="M47" s="113">
        <f>VLOOKUP(A47,[3]RESUMEN!$A:$AH,34,1)</f>
        <v>-0.44683744675100334</v>
      </c>
      <c r="N47" s="113">
        <f>VLOOKUP(A47,[3]RESUMEN!$A:$AI,35,1)</f>
        <v>-0.47273363129307328</v>
      </c>
    </row>
    <row r="48" spans="1:14" x14ac:dyDescent="0.25">
      <c r="A48" s="102">
        <v>37967</v>
      </c>
      <c r="B48">
        <v>94.921999999999997</v>
      </c>
      <c r="C48">
        <v>208.505</v>
      </c>
      <c r="D48">
        <v>322.08800000000002</v>
      </c>
      <c r="E48">
        <v>439.29700000000003</v>
      </c>
      <c r="F48">
        <v>0.99</v>
      </c>
      <c r="G48">
        <v>1.276</v>
      </c>
      <c r="H48">
        <v>1.9489999999999998</v>
      </c>
      <c r="I48">
        <v>2.4270999999999998</v>
      </c>
      <c r="J48">
        <v>3.3359999999999999</v>
      </c>
      <c r="K48">
        <v>0.25862172909995318</v>
      </c>
      <c r="L48" s="112">
        <f>VLOOKUP(A48,[3]RESUMEN!$A:$AE,31,1)</f>
        <v>-0.49862981583514321</v>
      </c>
      <c r="M48" s="113">
        <f>VLOOKUP(A48,[3]RESUMEN!$A:$AH,34,1)</f>
        <v>-0.44683744675100334</v>
      </c>
      <c r="N48" s="113">
        <f>VLOOKUP(A48,[3]RESUMEN!$A:$AI,35,1)</f>
        <v>-0.47273363129307328</v>
      </c>
    </row>
    <row r="49" spans="1:14" x14ac:dyDescent="0.25">
      <c r="A49" s="102">
        <v>37974</v>
      </c>
      <c r="B49">
        <v>104.922</v>
      </c>
      <c r="C49">
        <v>218.50450000000001</v>
      </c>
      <c r="D49">
        <v>332.08699999999999</v>
      </c>
      <c r="E49">
        <v>449.30099999999999</v>
      </c>
      <c r="F49">
        <v>0.98</v>
      </c>
      <c r="G49">
        <v>1.298</v>
      </c>
      <c r="H49">
        <v>1.956</v>
      </c>
      <c r="I49">
        <v>2.4270999999999998</v>
      </c>
      <c r="J49">
        <v>3.3319999999999999</v>
      </c>
      <c r="K49">
        <v>0.26362016212522099</v>
      </c>
      <c r="L49" s="112">
        <f>VLOOKUP(A49,[3]RESUMEN!$A:$AE,31,1)</f>
        <v>-0.49862981583514321</v>
      </c>
      <c r="M49" s="113">
        <f>VLOOKUP(A49,[3]RESUMEN!$A:$AH,34,1)</f>
        <v>-0.44683744675100334</v>
      </c>
      <c r="N49" s="113">
        <f>VLOOKUP(A49,[3]RESUMEN!$A:$AI,35,1)</f>
        <v>-0.47273363129307328</v>
      </c>
    </row>
    <row r="50" spans="1:14" x14ac:dyDescent="0.25">
      <c r="A50" s="102">
        <v>37981</v>
      </c>
      <c r="B50">
        <v>104.92</v>
      </c>
      <c r="C50">
        <v>218.49800000000002</v>
      </c>
      <c r="D50">
        <v>332.07600000000002</v>
      </c>
      <c r="E50">
        <v>444.29399999999998</v>
      </c>
      <c r="F50">
        <v>0.97</v>
      </c>
      <c r="G50">
        <v>1.2629999999999999</v>
      </c>
      <c r="H50">
        <v>1.915</v>
      </c>
      <c r="I50">
        <v>2.4270999999999998</v>
      </c>
      <c r="J50">
        <v>3.3479999999999999</v>
      </c>
      <c r="K50">
        <v>0.26136332069563528</v>
      </c>
      <c r="L50" s="112">
        <f>VLOOKUP(A50,[3]RESUMEN!$A:$AE,31,1)</f>
        <v>-0.49862981583514321</v>
      </c>
      <c r="M50" s="113">
        <f>VLOOKUP(A50,[3]RESUMEN!$A:$AH,34,1)</f>
        <v>-0.44683744675100334</v>
      </c>
      <c r="N50" s="113">
        <f>VLOOKUP(A50,[3]RESUMEN!$A:$AI,35,1)</f>
        <v>-0.47273363129307328</v>
      </c>
    </row>
    <row r="51" spans="1:14" x14ac:dyDescent="0.25">
      <c r="A51" s="102">
        <v>37988</v>
      </c>
      <c r="B51">
        <v>104.917</v>
      </c>
      <c r="C51">
        <v>218.4905</v>
      </c>
      <c r="D51">
        <v>332.06400000000002</v>
      </c>
      <c r="E51">
        <v>444.27100000000002</v>
      </c>
      <c r="F51">
        <v>1.01</v>
      </c>
      <c r="G51">
        <v>1.353</v>
      </c>
      <c r="H51">
        <v>2.0819999999999999</v>
      </c>
      <c r="I51">
        <v>2.4270999999999998</v>
      </c>
      <c r="J51">
        <v>3.55</v>
      </c>
      <c r="K51">
        <v>0.26136332069563528</v>
      </c>
      <c r="L51" s="112">
        <f>VLOOKUP(A51,[3]RESUMEN!$A:$AE,31,1)</f>
        <v>-0.5743667124720726</v>
      </c>
      <c r="M51" s="113">
        <f>VLOOKUP(A51,[3]RESUMEN!$A:$AH,34,1)</f>
        <v>0.15715040559997212</v>
      </c>
      <c r="N51" s="113">
        <f>VLOOKUP(A51,[3]RESUMEN!$A:$AI,35,1)</f>
        <v>-0.20860815343605024</v>
      </c>
    </row>
    <row r="52" spans="1:14" x14ac:dyDescent="0.25">
      <c r="A52" s="102">
        <v>37995</v>
      </c>
      <c r="B52">
        <v>74.944000000000003</v>
      </c>
      <c r="C52">
        <v>169.815</v>
      </c>
      <c r="D52">
        <v>264.68599999999998</v>
      </c>
      <c r="E52">
        <v>332.00099999999998</v>
      </c>
      <c r="F52">
        <v>0.99</v>
      </c>
      <c r="G52">
        <v>1.19</v>
      </c>
      <c r="H52">
        <v>1.794</v>
      </c>
      <c r="I52">
        <v>2.4270999999999998</v>
      </c>
      <c r="J52">
        <v>3.22</v>
      </c>
      <c r="K52">
        <v>0.20049127880090645</v>
      </c>
      <c r="L52" s="112">
        <f>VLOOKUP(A52,[3]RESUMEN!$A:$AE,31,1)</f>
        <v>-0.5743667124720726</v>
      </c>
      <c r="M52" s="113">
        <f>VLOOKUP(A52,[3]RESUMEN!$A:$AH,34,1)</f>
        <v>0.15715040559997212</v>
      </c>
      <c r="N52" s="113">
        <f>VLOOKUP(A52,[3]RESUMEN!$A:$AI,35,1)</f>
        <v>-0.20860815343605024</v>
      </c>
    </row>
    <row r="53" spans="1:14" x14ac:dyDescent="0.25">
      <c r="A53" s="102">
        <v>38002</v>
      </c>
      <c r="B53">
        <v>96.629000000000005</v>
      </c>
      <c r="C53">
        <v>195.70250000000001</v>
      </c>
      <c r="D53">
        <v>294.77600000000001</v>
      </c>
      <c r="E53">
        <v>367.97199999999998</v>
      </c>
      <c r="F53">
        <v>0.98</v>
      </c>
      <c r="G53">
        <v>1.2130000000000001</v>
      </c>
      <c r="H53">
        <v>1.8199999999999998</v>
      </c>
      <c r="I53">
        <v>2.4270999999999998</v>
      </c>
      <c r="J53">
        <v>3.1709999999999998</v>
      </c>
      <c r="K53">
        <v>0.21992967310785672</v>
      </c>
      <c r="L53" s="112">
        <f>VLOOKUP(A53,[3]RESUMEN!$A:$AE,31,1)</f>
        <v>-0.5743667124720726</v>
      </c>
      <c r="M53" s="113">
        <f>VLOOKUP(A53,[3]RESUMEN!$A:$AH,34,1)</f>
        <v>0.15715040559997212</v>
      </c>
      <c r="N53" s="113">
        <f>VLOOKUP(A53,[3]RESUMEN!$A:$AI,35,1)</f>
        <v>-0.20860815343605024</v>
      </c>
    </row>
    <row r="54" spans="1:14" x14ac:dyDescent="0.25">
      <c r="A54" s="102">
        <v>38009</v>
      </c>
      <c r="B54">
        <v>104.95699999999999</v>
      </c>
      <c r="C54">
        <v>204.035</v>
      </c>
      <c r="D54">
        <v>303.113</v>
      </c>
      <c r="E54">
        <v>384.63200000000001</v>
      </c>
      <c r="F54">
        <v>1</v>
      </c>
      <c r="G54">
        <v>1.218</v>
      </c>
      <c r="H54">
        <v>1.8260000000000001</v>
      </c>
      <c r="I54">
        <v>2.4270999999999998</v>
      </c>
      <c r="J54">
        <v>3.1970000000000001</v>
      </c>
      <c r="K54">
        <v>0.2292765416126471</v>
      </c>
      <c r="L54" s="112">
        <f>VLOOKUP(A54,[3]RESUMEN!$A:$AE,31,1)</f>
        <v>-0.5743667124720726</v>
      </c>
      <c r="M54" s="113">
        <f>VLOOKUP(A54,[3]RESUMEN!$A:$AH,34,1)</f>
        <v>0.15715040559997212</v>
      </c>
      <c r="N54" s="113">
        <f>VLOOKUP(A54,[3]RESUMEN!$A:$AI,35,1)</f>
        <v>-0.20860815343605024</v>
      </c>
    </row>
    <row r="55" spans="1:14" x14ac:dyDescent="0.25">
      <c r="A55" s="102">
        <v>38016</v>
      </c>
      <c r="B55">
        <v>169.88800000000001</v>
      </c>
      <c r="C55">
        <v>268.47500000000002</v>
      </c>
      <c r="D55">
        <v>367.06200000000001</v>
      </c>
      <c r="E55">
        <v>451.81</v>
      </c>
      <c r="F55">
        <v>1.03</v>
      </c>
      <c r="G55">
        <v>1.3045</v>
      </c>
      <c r="H55">
        <v>1.9855</v>
      </c>
      <c r="I55">
        <v>2.4270999999999998</v>
      </c>
      <c r="J55">
        <v>3.3410000000000002</v>
      </c>
      <c r="K55">
        <v>0.26331786250032252</v>
      </c>
      <c r="L55" s="112">
        <f>VLOOKUP(A55,[3]RESUMEN!$A:$AE,31,1)</f>
        <v>-0.5743667124720726</v>
      </c>
      <c r="M55" s="113">
        <f>VLOOKUP(A55,[3]RESUMEN!$A:$AH,34,1)</f>
        <v>0.15715040559997212</v>
      </c>
      <c r="N55" s="113">
        <f>VLOOKUP(A55,[3]RESUMEN!$A:$AI,35,1)</f>
        <v>-0.20860815343605024</v>
      </c>
    </row>
    <row r="56" spans="1:14" x14ac:dyDescent="0.25">
      <c r="A56" s="102">
        <v>38023</v>
      </c>
      <c r="B56">
        <v>188.268</v>
      </c>
      <c r="C56">
        <v>298.98849999999999</v>
      </c>
      <c r="D56">
        <v>409.709</v>
      </c>
      <c r="E56">
        <v>506.18099999999998</v>
      </c>
      <c r="F56">
        <v>0.99</v>
      </c>
      <c r="G56">
        <v>1.266</v>
      </c>
      <c r="H56">
        <v>1.9100000000000001</v>
      </c>
      <c r="I56">
        <v>2.4270999999999998</v>
      </c>
      <c r="J56">
        <v>3.2879999999999998</v>
      </c>
      <c r="K56">
        <v>0.29049542615947554</v>
      </c>
      <c r="L56" s="112">
        <f>VLOOKUP(A56,[3]RESUMEN!$A:$AE,31,1)</f>
        <v>-0.5743667124720726</v>
      </c>
      <c r="M56" s="113">
        <f>VLOOKUP(A56,[3]RESUMEN!$A:$AH,34,1)</f>
        <v>0.15715040559997212</v>
      </c>
      <c r="N56" s="113">
        <f>VLOOKUP(A56,[3]RESUMEN!$A:$AI,35,1)</f>
        <v>-0.20860815343605024</v>
      </c>
    </row>
    <row r="57" spans="1:14" x14ac:dyDescent="0.25">
      <c r="A57" s="102">
        <v>38030</v>
      </c>
      <c r="B57">
        <v>194.90700000000001</v>
      </c>
      <c r="C57">
        <v>304.74150000000003</v>
      </c>
      <c r="D57">
        <v>414.57600000000002</v>
      </c>
      <c r="E57">
        <v>509.28899999999999</v>
      </c>
      <c r="F57">
        <v>1.01</v>
      </c>
      <c r="G57">
        <v>1.2030000000000001</v>
      </c>
      <c r="H57">
        <v>1.804</v>
      </c>
      <c r="I57">
        <v>2.4270999999999998</v>
      </c>
      <c r="J57">
        <v>3.1680000000000001</v>
      </c>
      <c r="K57">
        <v>0.29192350942625511</v>
      </c>
      <c r="L57" s="112">
        <f>VLOOKUP(A57,[3]RESUMEN!$A:$AE,31,1)</f>
        <v>-0.5743667124720726</v>
      </c>
      <c r="M57" s="113">
        <f>VLOOKUP(A57,[3]RESUMEN!$A:$AH,34,1)</f>
        <v>0.15715040559997212</v>
      </c>
      <c r="N57" s="113">
        <f>VLOOKUP(A57,[3]RESUMEN!$A:$AI,35,1)</f>
        <v>-0.20860815343605024</v>
      </c>
    </row>
    <row r="58" spans="1:14" x14ac:dyDescent="0.25">
      <c r="A58" s="102">
        <v>38037</v>
      </c>
      <c r="B58">
        <v>197.40299999999999</v>
      </c>
      <c r="C58">
        <v>307.23250000000002</v>
      </c>
      <c r="D58">
        <v>417.06200000000001</v>
      </c>
      <c r="E58">
        <v>514.27700000000004</v>
      </c>
      <c r="F58">
        <v>0.99</v>
      </c>
      <c r="G58">
        <v>1.232</v>
      </c>
      <c r="H58">
        <v>1.863</v>
      </c>
      <c r="I58">
        <v>2.4270999999999998</v>
      </c>
      <c r="J58">
        <v>3.2349999999999999</v>
      </c>
      <c r="K58">
        <v>0.29436359774751764</v>
      </c>
      <c r="L58" s="112">
        <f>VLOOKUP(A58,[3]RESUMEN!$A:$AE,31,1)</f>
        <v>-0.5743667124720726</v>
      </c>
      <c r="M58" s="113">
        <f>VLOOKUP(A58,[3]RESUMEN!$A:$AH,34,1)</f>
        <v>0.15715040559997212</v>
      </c>
      <c r="N58" s="113">
        <f>VLOOKUP(A58,[3]RESUMEN!$A:$AI,35,1)</f>
        <v>-0.20860815343605024</v>
      </c>
    </row>
    <row r="59" spans="1:14" x14ac:dyDescent="0.25">
      <c r="A59" s="102">
        <v>38044</v>
      </c>
      <c r="B59">
        <v>117.423</v>
      </c>
      <c r="C59">
        <v>236.01500000000001</v>
      </c>
      <c r="D59">
        <v>354.60700000000003</v>
      </c>
      <c r="E59">
        <v>476.834</v>
      </c>
      <c r="F59">
        <v>1.04</v>
      </c>
      <c r="G59">
        <v>1.2055</v>
      </c>
      <c r="H59">
        <v>1.7890000000000001</v>
      </c>
      <c r="I59">
        <v>2.4270999999999998</v>
      </c>
      <c r="J59">
        <v>3.14</v>
      </c>
      <c r="K59">
        <v>0.27742166959083236</v>
      </c>
      <c r="L59" s="112">
        <f>VLOOKUP(A59,[3]RESUMEN!$A:$AE,31,1)</f>
        <v>-0.5743667124720726</v>
      </c>
      <c r="M59" s="113">
        <f>VLOOKUP(A59,[3]RESUMEN!$A:$AH,34,1)</f>
        <v>0.15715040559997212</v>
      </c>
      <c r="N59" s="113">
        <f>VLOOKUP(A59,[3]RESUMEN!$A:$AI,35,1)</f>
        <v>-0.20860815343605024</v>
      </c>
    </row>
    <row r="60" spans="1:14" x14ac:dyDescent="0.25">
      <c r="A60" s="102">
        <v>38051</v>
      </c>
      <c r="B60">
        <v>107.429</v>
      </c>
      <c r="C60">
        <v>221.04899999999998</v>
      </c>
      <c r="D60">
        <v>334.66899999999998</v>
      </c>
      <c r="E60">
        <v>444.416</v>
      </c>
      <c r="F60">
        <v>1</v>
      </c>
      <c r="G60">
        <v>1.167</v>
      </c>
      <c r="H60">
        <v>1.6760000000000002</v>
      </c>
      <c r="I60">
        <v>2.4270999999999998</v>
      </c>
      <c r="J60">
        <v>2.9769999999999999</v>
      </c>
      <c r="K60">
        <v>0.26085928767904099</v>
      </c>
      <c r="L60" s="112">
        <f>VLOOKUP(A60,[3]RESUMEN!$A:$AE,31,1)</f>
        <v>-0.5743667124720726</v>
      </c>
      <c r="M60" s="113">
        <f>VLOOKUP(A60,[3]RESUMEN!$A:$AH,34,1)</f>
        <v>0.15715040559997212</v>
      </c>
      <c r="N60" s="113">
        <f>VLOOKUP(A60,[3]RESUMEN!$A:$AI,35,1)</f>
        <v>-0.20860815343605024</v>
      </c>
    </row>
    <row r="61" spans="1:14" x14ac:dyDescent="0.25">
      <c r="A61" s="102">
        <v>38058</v>
      </c>
      <c r="B61">
        <v>109.929</v>
      </c>
      <c r="C61">
        <v>218.55599999999998</v>
      </c>
      <c r="D61">
        <v>327.18299999999999</v>
      </c>
      <c r="E61">
        <v>439.44299999999998</v>
      </c>
      <c r="F61">
        <v>0.99</v>
      </c>
      <c r="G61">
        <v>1.1759999999999999</v>
      </c>
      <c r="H61">
        <v>1.6665000000000001</v>
      </c>
      <c r="I61">
        <v>2.4270999999999998</v>
      </c>
      <c r="J61">
        <v>2.8769999999999998</v>
      </c>
      <c r="K61">
        <v>0.25862172946952589</v>
      </c>
      <c r="L61" s="112">
        <f>VLOOKUP(A61,[3]RESUMEN!$A:$AE,31,1)</f>
        <v>-0.5743667124720726</v>
      </c>
      <c r="M61" s="113">
        <f>VLOOKUP(A61,[3]RESUMEN!$A:$AH,34,1)</f>
        <v>0.15715040559997212</v>
      </c>
      <c r="N61" s="113">
        <f>VLOOKUP(A61,[3]RESUMEN!$A:$AI,35,1)</f>
        <v>-0.20860815343605024</v>
      </c>
    </row>
    <row r="62" spans="1:14" x14ac:dyDescent="0.25">
      <c r="A62" s="102">
        <v>38065</v>
      </c>
      <c r="B62">
        <v>91.626000000000005</v>
      </c>
      <c r="C62">
        <v>189.83699999999999</v>
      </c>
      <c r="D62">
        <v>301.46300000000002</v>
      </c>
      <c r="E62">
        <v>414.63799999999998</v>
      </c>
      <c r="F62">
        <v>0.99</v>
      </c>
      <c r="G62">
        <v>1.163</v>
      </c>
      <c r="H62">
        <v>1.6680000000000001</v>
      </c>
      <c r="I62">
        <v>2.4270999999999998</v>
      </c>
      <c r="J62">
        <v>2.9159999999999999</v>
      </c>
      <c r="K62">
        <v>0.24589439385017253</v>
      </c>
      <c r="L62" s="112">
        <f>VLOOKUP(A62,[3]RESUMEN!$A:$AE,31,1)</f>
        <v>-0.5743667124720726</v>
      </c>
      <c r="M62" s="113">
        <f>VLOOKUP(A62,[3]RESUMEN!$A:$AH,34,1)</f>
        <v>0.15715040559997212</v>
      </c>
      <c r="N62" s="113">
        <f>VLOOKUP(A62,[3]RESUMEN!$A:$AI,35,1)</f>
        <v>-0.20860815343605024</v>
      </c>
    </row>
    <row r="63" spans="1:14" x14ac:dyDescent="0.25">
      <c r="A63" s="102">
        <v>38072</v>
      </c>
      <c r="B63">
        <v>87.463999999999999</v>
      </c>
      <c r="C63">
        <v>182.33600000000001</v>
      </c>
      <c r="D63">
        <v>289.84899999999999</v>
      </c>
      <c r="E63">
        <v>400.98500000000001</v>
      </c>
      <c r="F63">
        <v>1</v>
      </c>
      <c r="G63">
        <v>1.19</v>
      </c>
      <c r="H63">
        <v>1.7069999999999999</v>
      </c>
      <c r="I63">
        <v>2.4270999999999998</v>
      </c>
      <c r="J63">
        <v>2.9779999999999998</v>
      </c>
      <c r="K63">
        <v>0.23878795142495002</v>
      </c>
      <c r="L63" s="112">
        <f>VLOOKUP(A63,[3]RESUMEN!$A:$AE,31,1)</f>
        <v>-0.5743667124720726</v>
      </c>
      <c r="M63" s="113">
        <f>VLOOKUP(A63,[3]RESUMEN!$A:$AH,34,1)</f>
        <v>0.15715040559997212</v>
      </c>
      <c r="N63" s="113">
        <f>VLOOKUP(A63,[3]RESUMEN!$A:$AI,35,1)</f>
        <v>-0.20860815343605024</v>
      </c>
    </row>
    <row r="64" spans="1:14" x14ac:dyDescent="0.25">
      <c r="A64" s="102">
        <v>38079</v>
      </c>
      <c r="B64">
        <v>78.721000000000004</v>
      </c>
      <c r="C64">
        <v>157.34399999999999</v>
      </c>
      <c r="D64">
        <v>253.596</v>
      </c>
      <c r="E64">
        <v>362.22800000000001</v>
      </c>
      <c r="F64">
        <v>1</v>
      </c>
      <c r="G64">
        <v>1.3580000000000001</v>
      </c>
      <c r="H64">
        <v>2.016</v>
      </c>
      <c r="I64">
        <v>2.4270999999999998</v>
      </c>
      <c r="J64">
        <v>3.3439999999999999</v>
      </c>
      <c r="K64">
        <v>0.2182016567301811</v>
      </c>
      <c r="L64" s="112">
        <f>VLOOKUP(A64,[3]RESUMEN!$A:$AE,31,1)</f>
        <v>-0.54377094148791971</v>
      </c>
      <c r="M64" s="113">
        <f>VLOOKUP(A64,[3]RESUMEN!$A:$AH,34,1)</f>
        <v>0.18824879844141409</v>
      </c>
      <c r="N64" s="113">
        <f>VLOOKUP(A64,[3]RESUMEN!$A:$AI,35,1)</f>
        <v>-0.17776107152325282</v>
      </c>
    </row>
    <row r="65" spans="1:14" x14ac:dyDescent="0.25">
      <c r="A65" s="102">
        <v>38086</v>
      </c>
      <c r="B65">
        <v>79.962000000000003</v>
      </c>
      <c r="C65">
        <v>154.845</v>
      </c>
      <c r="D65">
        <v>253.13200000000001</v>
      </c>
      <c r="E65">
        <v>361.30799999999999</v>
      </c>
      <c r="F65">
        <v>1.01</v>
      </c>
      <c r="G65">
        <v>1.3460000000000001</v>
      </c>
      <c r="H65">
        <v>1.9830000000000001</v>
      </c>
      <c r="I65">
        <v>2.4270999999999998</v>
      </c>
      <c r="J65">
        <v>3.4009999999999998</v>
      </c>
      <c r="K65">
        <v>0.2182016567301811</v>
      </c>
      <c r="L65" s="112">
        <f>VLOOKUP(A65,[3]RESUMEN!$A:$AE,31,1)</f>
        <v>-0.54377094148791971</v>
      </c>
      <c r="M65" s="113">
        <f>VLOOKUP(A65,[3]RESUMEN!$A:$AH,34,1)</f>
        <v>0.18824879844141409</v>
      </c>
      <c r="N65" s="113">
        <f>VLOOKUP(A65,[3]RESUMEN!$A:$AI,35,1)</f>
        <v>-0.17776107152325282</v>
      </c>
    </row>
    <row r="66" spans="1:14" x14ac:dyDescent="0.25">
      <c r="A66" s="102">
        <v>38093</v>
      </c>
      <c r="B66">
        <v>104.965</v>
      </c>
      <c r="C66">
        <v>187.31200000000001</v>
      </c>
      <c r="D66">
        <v>294.81900000000002</v>
      </c>
      <c r="E66">
        <v>410.92</v>
      </c>
      <c r="F66">
        <v>0.99</v>
      </c>
      <c r="G66">
        <v>1.4350000000000001</v>
      </c>
      <c r="H66">
        <v>2.1709999999999998</v>
      </c>
      <c r="I66">
        <v>2.4270999999999998</v>
      </c>
      <c r="J66">
        <v>3.6040000000000001</v>
      </c>
      <c r="K66">
        <v>0.24397675746324343</v>
      </c>
      <c r="L66" s="112">
        <f>VLOOKUP(A66,[3]RESUMEN!$A:$AE,31,1)</f>
        <v>-0.54377094148791971</v>
      </c>
      <c r="M66" s="113">
        <f>VLOOKUP(A66,[3]RESUMEN!$A:$AH,34,1)</f>
        <v>0.18824879844141409</v>
      </c>
      <c r="N66" s="113">
        <f>VLOOKUP(A66,[3]RESUMEN!$A:$AI,35,1)</f>
        <v>-0.17776107152325282</v>
      </c>
    </row>
    <row r="67" spans="1:14" x14ac:dyDescent="0.25">
      <c r="A67" s="102">
        <v>38100</v>
      </c>
      <c r="B67">
        <v>126.60599999999999</v>
      </c>
      <c r="C67">
        <v>204.774</v>
      </c>
      <c r="D67">
        <v>319.71199999999999</v>
      </c>
      <c r="E67">
        <v>432.84699999999998</v>
      </c>
      <c r="F67">
        <v>0.99</v>
      </c>
      <c r="G67">
        <v>1.6179999999999999</v>
      </c>
      <c r="H67">
        <v>2.44</v>
      </c>
      <c r="I67">
        <v>2.4270999999999998</v>
      </c>
      <c r="J67">
        <v>3.798</v>
      </c>
      <c r="K67">
        <v>0.25508930245744632</v>
      </c>
      <c r="L67" s="112">
        <f>VLOOKUP(A67,[3]RESUMEN!$A:$AE,31,1)</f>
        <v>-0.54377094148791971</v>
      </c>
      <c r="M67" s="113">
        <f>VLOOKUP(A67,[3]RESUMEN!$A:$AH,34,1)</f>
        <v>0.18824879844141409</v>
      </c>
      <c r="N67" s="113">
        <f>VLOOKUP(A67,[3]RESUMEN!$A:$AI,35,1)</f>
        <v>-0.17776107152325282</v>
      </c>
    </row>
    <row r="68" spans="1:14" x14ac:dyDescent="0.25">
      <c r="A68" s="102">
        <v>38107</v>
      </c>
      <c r="B68">
        <v>151.19499999999999</v>
      </c>
      <c r="C68">
        <v>254.733</v>
      </c>
      <c r="D68">
        <v>377.245</v>
      </c>
      <c r="E68">
        <v>490.83300000000003</v>
      </c>
      <c r="F68">
        <v>1.03</v>
      </c>
      <c r="G68">
        <v>1.6684999999999999</v>
      </c>
      <c r="H68">
        <v>2.5</v>
      </c>
      <c r="I68">
        <v>2.4270999999999998</v>
      </c>
      <c r="J68">
        <v>3.8740000000000001</v>
      </c>
      <c r="K68">
        <v>0.28393138373606364</v>
      </c>
      <c r="L68" s="112">
        <f>VLOOKUP(A68,[3]RESUMEN!$A:$AE,31,1)</f>
        <v>-0.54377094148791971</v>
      </c>
      <c r="M68" s="113">
        <f>VLOOKUP(A68,[3]RESUMEN!$A:$AH,34,1)</f>
        <v>0.18824879844141409</v>
      </c>
      <c r="N68" s="113">
        <f>VLOOKUP(A68,[3]RESUMEN!$A:$AI,35,1)</f>
        <v>-0.17776107152325282</v>
      </c>
    </row>
    <row r="69" spans="1:14" x14ac:dyDescent="0.25">
      <c r="A69" s="102">
        <v>38114</v>
      </c>
      <c r="B69">
        <v>246.167</v>
      </c>
      <c r="C69">
        <v>352.07</v>
      </c>
      <c r="D69">
        <v>489.63799999999998</v>
      </c>
      <c r="E69">
        <v>606.94200000000001</v>
      </c>
      <c r="F69">
        <v>0.99</v>
      </c>
      <c r="G69">
        <v>1.9255</v>
      </c>
      <c r="H69">
        <v>2.8250000000000002</v>
      </c>
      <c r="I69">
        <v>2.4270999999999998</v>
      </c>
      <c r="J69">
        <v>4.2780000000000005</v>
      </c>
      <c r="K69">
        <v>0.3379306907111953</v>
      </c>
      <c r="L69" s="112">
        <f>VLOOKUP(A69,[3]RESUMEN!$A:$AE,31,1)</f>
        <v>-0.54377094148791971</v>
      </c>
      <c r="M69" s="113">
        <f>VLOOKUP(A69,[3]RESUMEN!$A:$AH,34,1)</f>
        <v>0.18824879844141409</v>
      </c>
      <c r="N69" s="113">
        <f>VLOOKUP(A69,[3]RESUMEN!$A:$AI,35,1)</f>
        <v>-0.17776107152325282</v>
      </c>
    </row>
    <row r="70" spans="1:14" x14ac:dyDescent="0.25">
      <c r="A70" s="102">
        <v>38121</v>
      </c>
      <c r="B70">
        <v>229.916</v>
      </c>
      <c r="C70">
        <v>364.536</v>
      </c>
      <c r="D70">
        <v>473.38900000000001</v>
      </c>
      <c r="E70">
        <v>586.95799999999997</v>
      </c>
      <c r="F70">
        <v>1.02</v>
      </c>
      <c r="G70">
        <v>1.895</v>
      </c>
      <c r="H70">
        <v>2.7720000000000002</v>
      </c>
      <c r="I70">
        <v>2.4270999999999998</v>
      </c>
      <c r="J70">
        <v>4.3179999999999996</v>
      </c>
      <c r="K70">
        <v>0.32878858134397726</v>
      </c>
      <c r="L70" s="112">
        <f>VLOOKUP(A70,[3]RESUMEN!$A:$AE,31,1)</f>
        <v>-0.54377094148791971</v>
      </c>
      <c r="M70" s="113">
        <f>VLOOKUP(A70,[3]RESUMEN!$A:$AH,34,1)</f>
        <v>0.18824879844141409</v>
      </c>
      <c r="N70" s="113">
        <f>VLOOKUP(A70,[3]RESUMEN!$A:$AI,35,1)</f>
        <v>-0.17776107152325282</v>
      </c>
    </row>
    <row r="71" spans="1:14" x14ac:dyDescent="0.25">
      <c r="A71" s="102">
        <v>38128</v>
      </c>
      <c r="B71">
        <v>239.87700000000001</v>
      </c>
      <c r="C71">
        <v>367.024</v>
      </c>
      <c r="D71">
        <v>484.529</v>
      </c>
      <c r="E71">
        <v>597.61199999999997</v>
      </c>
      <c r="F71">
        <v>0.99</v>
      </c>
      <c r="G71">
        <v>1.9790000000000001</v>
      </c>
      <c r="H71">
        <v>2.8205</v>
      </c>
      <c r="I71">
        <v>2.4270999999999998</v>
      </c>
      <c r="J71">
        <v>4.1970000000000001</v>
      </c>
      <c r="K71">
        <v>0.33370794531309089</v>
      </c>
      <c r="L71" s="112">
        <f>VLOOKUP(A71,[3]RESUMEN!$A:$AE,31,1)</f>
        <v>-0.54377094148791971</v>
      </c>
      <c r="M71" s="113">
        <f>VLOOKUP(A71,[3]RESUMEN!$A:$AH,34,1)</f>
        <v>0.18824879844141409</v>
      </c>
      <c r="N71" s="113">
        <f>VLOOKUP(A71,[3]RESUMEN!$A:$AI,35,1)</f>
        <v>-0.17776107152325282</v>
      </c>
    </row>
    <row r="72" spans="1:14" x14ac:dyDescent="0.25">
      <c r="A72" s="102">
        <v>38135</v>
      </c>
      <c r="B72">
        <v>202.411</v>
      </c>
      <c r="C72">
        <v>329.56700000000001</v>
      </c>
      <c r="D72">
        <v>440.91</v>
      </c>
      <c r="E72">
        <v>551.99300000000005</v>
      </c>
      <c r="F72">
        <v>1.02</v>
      </c>
      <c r="G72">
        <v>1.9689999999999999</v>
      </c>
      <c r="H72">
        <v>2.7785000000000002</v>
      </c>
      <c r="I72">
        <v>2.4270999999999998</v>
      </c>
      <c r="J72">
        <v>4.0979999999999999</v>
      </c>
      <c r="K72">
        <v>0.31260092253359628</v>
      </c>
      <c r="L72" s="112">
        <f>VLOOKUP(A72,[3]RESUMEN!$A:$AE,31,1)</f>
        <v>-0.54377094148791971</v>
      </c>
      <c r="M72" s="113">
        <f>VLOOKUP(A72,[3]RESUMEN!$A:$AH,34,1)</f>
        <v>0.18824879844141409</v>
      </c>
      <c r="N72" s="113">
        <f>VLOOKUP(A72,[3]RESUMEN!$A:$AI,35,1)</f>
        <v>-0.17776107152325282</v>
      </c>
    </row>
    <row r="73" spans="1:14" x14ac:dyDescent="0.25">
      <c r="A73" s="102">
        <v>38142</v>
      </c>
      <c r="B73">
        <v>169.815</v>
      </c>
      <c r="C73">
        <v>292.09399999999999</v>
      </c>
      <c r="D73">
        <v>409.339</v>
      </c>
      <c r="E73">
        <v>521.50800000000004</v>
      </c>
      <c r="F73">
        <v>0.99</v>
      </c>
      <c r="G73">
        <v>2.113</v>
      </c>
      <c r="H73">
        <v>2.94</v>
      </c>
      <c r="I73">
        <v>2.4270999999999998</v>
      </c>
      <c r="J73">
        <v>4.234</v>
      </c>
      <c r="K73">
        <v>0.29853151953376211</v>
      </c>
      <c r="L73" s="112">
        <f>VLOOKUP(A73,[3]RESUMEN!$A:$AE,31,1)</f>
        <v>-0.54377094148791971</v>
      </c>
      <c r="M73" s="113">
        <f>VLOOKUP(A73,[3]RESUMEN!$A:$AH,34,1)</f>
        <v>0.18824879844141409</v>
      </c>
      <c r="N73" s="113">
        <f>VLOOKUP(A73,[3]RESUMEN!$A:$AI,35,1)</f>
        <v>-0.17776107152325282</v>
      </c>
    </row>
    <row r="74" spans="1:14" x14ac:dyDescent="0.25">
      <c r="A74" s="102">
        <v>38149</v>
      </c>
      <c r="B74">
        <v>173.20400000000001</v>
      </c>
      <c r="C74">
        <v>284.59300000000002</v>
      </c>
      <c r="D74">
        <v>391.24299999999999</v>
      </c>
      <c r="E74">
        <v>506.02300000000002</v>
      </c>
      <c r="F74">
        <v>1</v>
      </c>
      <c r="G74">
        <v>2.2439999999999998</v>
      </c>
      <c r="H74">
        <v>3.0470000000000002</v>
      </c>
      <c r="I74">
        <v>2.4270999999999998</v>
      </c>
      <c r="J74">
        <v>4.2729999999999997</v>
      </c>
      <c r="K74">
        <v>0.29106636216390569</v>
      </c>
      <c r="L74" s="112">
        <f>VLOOKUP(A74,[3]RESUMEN!$A:$AE,31,1)</f>
        <v>-0.54377094148791971</v>
      </c>
      <c r="M74" s="113">
        <f>VLOOKUP(A74,[3]RESUMEN!$A:$AH,34,1)</f>
        <v>0.18824879844141409</v>
      </c>
      <c r="N74" s="113">
        <f>VLOOKUP(A74,[3]RESUMEN!$A:$AI,35,1)</f>
        <v>-0.17776107152325282</v>
      </c>
    </row>
    <row r="75" spans="1:14" x14ac:dyDescent="0.25">
      <c r="A75" s="102">
        <v>38156</v>
      </c>
      <c r="B75">
        <v>158.214</v>
      </c>
      <c r="C75">
        <v>264.61599999999999</v>
      </c>
      <c r="D75">
        <v>374.596</v>
      </c>
      <c r="E75">
        <v>492.71100000000001</v>
      </c>
      <c r="F75">
        <v>1</v>
      </c>
      <c r="G75">
        <v>2.242</v>
      </c>
      <c r="H75">
        <v>3.0459999999999998</v>
      </c>
      <c r="I75">
        <v>2.4270999999999998</v>
      </c>
      <c r="J75">
        <v>4.1989999999999998</v>
      </c>
      <c r="K75">
        <v>0.28483728847709266</v>
      </c>
      <c r="L75" s="112">
        <f>VLOOKUP(A75,[3]RESUMEN!$A:$AE,31,1)</f>
        <v>-0.54377094148791971</v>
      </c>
      <c r="M75" s="113">
        <f>VLOOKUP(A75,[3]RESUMEN!$A:$AH,34,1)</f>
        <v>0.18824879844141409</v>
      </c>
      <c r="N75" s="113">
        <f>VLOOKUP(A75,[3]RESUMEN!$A:$AI,35,1)</f>
        <v>-0.17776107152325282</v>
      </c>
    </row>
    <row r="76" spans="1:14" x14ac:dyDescent="0.25">
      <c r="A76" s="102">
        <v>38163</v>
      </c>
      <c r="B76">
        <v>134.911</v>
      </c>
      <c r="C76">
        <v>254.64400000000001</v>
      </c>
      <c r="D76">
        <v>369.601</v>
      </c>
      <c r="E76">
        <v>487.721</v>
      </c>
      <c r="F76">
        <v>1.05</v>
      </c>
      <c r="G76">
        <v>2.238</v>
      </c>
      <c r="H76">
        <v>2.9980000000000002</v>
      </c>
      <c r="I76">
        <v>2.4270999999999998</v>
      </c>
      <c r="J76">
        <v>4.1559999999999997</v>
      </c>
      <c r="K76">
        <v>0.28243571653218991</v>
      </c>
      <c r="L76" s="112">
        <f>VLOOKUP(A76,[3]RESUMEN!$A:$AE,31,1)</f>
        <v>-0.54377094148791971</v>
      </c>
      <c r="M76" s="113">
        <f>VLOOKUP(A76,[3]RESUMEN!$A:$AH,34,1)</f>
        <v>0.18824879844141409</v>
      </c>
      <c r="N76" s="113">
        <f>VLOOKUP(A76,[3]RESUMEN!$A:$AI,35,1)</f>
        <v>-0.17776107152325282</v>
      </c>
    </row>
    <row r="77" spans="1:14" x14ac:dyDescent="0.25">
      <c r="A77" s="102">
        <v>38170</v>
      </c>
      <c r="B77">
        <v>132.42599999999999</v>
      </c>
      <c r="C77">
        <v>239.68899999999999</v>
      </c>
      <c r="D77">
        <v>362.97500000000002</v>
      </c>
      <c r="E77">
        <v>481.10700000000003</v>
      </c>
      <c r="F77">
        <v>1.25</v>
      </c>
      <c r="G77">
        <v>2.1139999999999999</v>
      </c>
      <c r="H77">
        <v>2.7850000000000001</v>
      </c>
      <c r="I77">
        <v>2.4270999999999998</v>
      </c>
      <c r="J77">
        <v>3.895</v>
      </c>
      <c r="K77">
        <v>0.27944887032449406</v>
      </c>
      <c r="L77" s="112">
        <f>VLOOKUP(A77,[3]RESUMEN!$A:$AE,31,1)</f>
        <v>-0.32246674510803613</v>
      </c>
      <c r="M77" s="113">
        <f>VLOOKUP(A77,[3]RESUMEN!$A:$AH,34,1)</f>
        <v>-0.27885064136875526</v>
      </c>
      <c r="N77" s="113">
        <f>VLOOKUP(A77,[3]RESUMEN!$A:$AI,35,1)</f>
        <v>-0.30065869323839567</v>
      </c>
    </row>
    <row r="78" spans="1:14" x14ac:dyDescent="0.25">
      <c r="A78" s="102">
        <v>38177</v>
      </c>
      <c r="B78">
        <v>104.895</v>
      </c>
      <c r="C78">
        <v>237.18299999999999</v>
      </c>
      <c r="D78">
        <v>349.46600000000001</v>
      </c>
      <c r="E78">
        <v>471.666</v>
      </c>
      <c r="F78">
        <v>1.24</v>
      </c>
      <c r="G78">
        <v>2.1059999999999999</v>
      </c>
      <c r="H78">
        <v>2.7829999999999999</v>
      </c>
      <c r="I78">
        <v>2.4270999999999998</v>
      </c>
      <c r="J78">
        <v>3.9220000000000002</v>
      </c>
      <c r="K78">
        <v>0.27491608795721467</v>
      </c>
      <c r="L78" s="112">
        <f>VLOOKUP(A78,[3]RESUMEN!$A:$AE,31,1)</f>
        <v>-0.32246674510803613</v>
      </c>
      <c r="M78" s="113">
        <f>VLOOKUP(A78,[3]RESUMEN!$A:$AH,34,1)</f>
        <v>-0.27885064136875526</v>
      </c>
      <c r="N78" s="113">
        <f>VLOOKUP(A78,[3]RESUMEN!$A:$AI,35,1)</f>
        <v>-0.30065869323839567</v>
      </c>
    </row>
    <row r="79" spans="1:14" x14ac:dyDescent="0.25">
      <c r="A79" s="102">
        <v>38184</v>
      </c>
      <c r="B79">
        <v>119.93600000000001</v>
      </c>
      <c r="C79">
        <v>214.709</v>
      </c>
      <c r="D79">
        <v>341.33300000000003</v>
      </c>
      <c r="E79">
        <v>459.48599999999999</v>
      </c>
      <c r="F79">
        <v>1.24</v>
      </c>
      <c r="G79">
        <v>2.1295000000000002</v>
      </c>
      <c r="H79">
        <v>2.7810000000000001</v>
      </c>
      <c r="I79">
        <v>2.4270999999999998</v>
      </c>
      <c r="J79">
        <v>3.8650000000000002</v>
      </c>
      <c r="K79">
        <v>0.2688332953937852</v>
      </c>
      <c r="L79" s="112">
        <f>VLOOKUP(A79,[3]RESUMEN!$A:$AE,31,1)</f>
        <v>-0.32246674510803613</v>
      </c>
      <c r="M79" s="113">
        <f>VLOOKUP(A79,[3]RESUMEN!$A:$AH,34,1)</f>
        <v>-0.27885064136875526</v>
      </c>
      <c r="N79" s="113">
        <f>VLOOKUP(A79,[3]RESUMEN!$A:$AI,35,1)</f>
        <v>-0.30065869323839567</v>
      </c>
    </row>
    <row r="80" spans="1:14" x14ac:dyDescent="0.25">
      <c r="A80" s="102">
        <v>38191</v>
      </c>
      <c r="B80">
        <v>127.43300000000001</v>
      </c>
      <c r="C80">
        <v>229.68600000000001</v>
      </c>
      <c r="D80">
        <v>351.31200000000001</v>
      </c>
      <c r="E80">
        <v>467.78899999999999</v>
      </c>
      <c r="F80">
        <v>1.25</v>
      </c>
      <c r="G80">
        <v>2.2425000000000002</v>
      </c>
      <c r="H80">
        <v>2.9344999999999999</v>
      </c>
      <c r="I80">
        <v>2.4270999999999998</v>
      </c>
      <c r="J80">
        <v>3.9689999999999999</v>
      </c>
      <c r="K80">
        <v>0.27282024596849885</v>
      </c>
      <c r="L80" s="112">
        <f>VLOOKUP(A80,[3]RESUMEN!$A:$AE,31,1)</f>
        <v>-0.32246674510803613</v>
      </c>
      <c r="M80" s="113">
        <f>VLOOKUP(A80,[3]RESUMEN!$A:$AH,34,1)</f>
        <v>-0.27885064136875526</v>
      </c>
      <c r="N80" s="113">
        <f>VLOOKUP(A80,[3]RESUMEN!$A:$AI,35,1)</f>
        <v>-0.30065869323839567</v>
      </c>
    </row>
    <row r="81" spans="1:14" x14ac:dyDescent="0.25">
      <c r="A81" s="102">
        <v>38198</v>
      </c>
      <c r="B81">
        <v>117.45</v>
      </c>
      <c r="C81">
        <v>222.18899999999999</v>
      </c>
      <c r="D81">
        <v>344.73500000000001</v>
      </c>
      <c r="E81">
        <v>460.84500000000003</v>
      </c>
      <c r="F81">
        <v>1.29</v>
      </c>
      <c r="G81">
        <v>2.242</v>
      </c>
      <c r="H81">
        <v>2.9119999999999999</v>
      </c>
      <c r="I81">
        <v>2.4270999999999998</v>
      </c>
      <c r="J81">
        <v>3.976</v>
      </c>
      <c r="K81">
        <v>0.2694133156141918</v>
      </c>
      <c r="L81" s="112">
        <f>VLOOKUP(A81,[3]RESUMEN!$A:$AE,31,1)</f>
        <v>-0.32246674510803613</v>
      </c>
      <c r="M81" s="113">
        <f>VLOOKUP(A81,[3]RESUMEN!$A:$AH,34,1)</f>
        <v>-0.27885064136875526</v>
      </c>
      <c r="N81" s="113">
        <f>VLOOKUP(A81,[3]RESUMEN!$A:$AI,35,1)</f>
        <v>-0.30065869323839567</v>
      </c>
    </row>
    <row r="82" spans="1:14" x14ac:dyDescent="0.25">
      <c r="A82" s="102">
        <v>38205</v>
      </c>
      <c r="B82">
        <v>117.45399999999999</v>
      </c>
      <c r="C82">
        <v>212.23699999999999</v>
      </c>
      <c r="D82">
        <v>337.27</v>
      </c>
      <c r="E82">
        <v>453.39</v>
      </c>
      <c r="F82">
        <v>1.32</v>
      </c>
      <c r="G82">
        <v>2.0499999999999998</v>
      </c>
      <c r="H82">
        <v>2.6139999999999999</v>
      </c>
      <c r="I82">
        <v>2.4270999999999998</v>
      </c>
      <c r="J82">
        <v>3.6760000000000002</v>
      </c>
      <c r="K82">
        <v>0.26571867901374657</v>
      </c>
      <c r="L82" s="112">
        <f>VLOOKUP(A82,[3]RESUMEN!$A:$AE,31,1)</f>
        <v>-0.32246674510803613</v>
      </c>
      <c r="M82" s="113">
        <f>VLOOKUP(A82,[3]RESUMEN!$A:$AH,34,1)</f>
        <v>-0.27885064136875526</v>
      </c>
      <c r="N82" s="113">
        <f>VLOOKUP(A82,[3]RESUMEN!$A:$AI,35,1)</f>
        <v>-0.30065869323839567</v>
      </c>
    </row>
    <row r="83" spans="1:14" x14ac:dyDescent="0.25">
      <c r="A83" s="102">
        <v>38212</v>
      </c>
      <c r="B83">
        <v>123.271</v>
      </c>
      <c r="C83">
        <v>212.226</v>
      </c>
      <c r="D83">
        <v>335.392</v>
      </c>
      <c r="E83">
        <v>452.13400000000001</v>
      </c>
      <c r="F83">
        <v>1.48</v>
      </c>
      <c r="G83">
        <v>2.1164999999999998</v>
      </c>
      <c r="H83">
        <v>2.6739999999999999</v>
      </c>
      <c r="I83">
        <v>2.4270999999999998</v>
      </c>
      <c r="J83">
        <v>3.669</v>
      </c>
      <c r="K83">
        <v>0.26506200188855522</v>
      </c>
      <c r="L83" s="112">
        <f>VLOOKUP(A83,[3]RESUMEN!$A:$AE,31,1)</f>
        <v>-0.32246674510803613</v>
      </c>
      <c r="M83" s="113">
        <f>VLOOKUP(A83,[3]RESUMEN!$A:$AH,34,1)</f>
        <v>-0.27885064136875526</v>
      </c>
      <c r="N83" s="113">
        <f>VLOOKUP(A83,[3]RESUMEN!$A:$AI,35,1)</f>
        <v>-0.30065869323839567</v>
      </c>
    </row>
    <row r="84" spans="1:14" x14ac:dyDescent="0.25">
      <c r="A84" s="102">
        <v>38219</v>
      </c>
      <c r="B84">
        <v>140</v>
      </c>
      <c r="C84">
        <v>189.5</v>
      </c>
      <c r="D84">
        <v>319.66699999999997</v>
      </c>
      <c r="E84">
        <v>438</v>
      </c>
      <c r="F84">
        <v>1.5</v>
      </c>
      <c r="G84">
        <v>2.1274999999999999</v>
      </c>
      <c r="H84">
        <v>2.653</v>
      </c>
      <c r="I84">
        <v>2.4270999999999998</v>
      </c>
      <c r="J84">
        <v>3.6520000000000001</v>
      </c>
      <c r="K84">
        <v>0.25799411641095593</v>
      </c>
      <c r="L84" s="112">
        <f>VLOOKUP(A84,[3]RESUMEN!$A:$AE,31,1)</f>
        <v>-0.32246674510803613</v>
      </c>
      <c r="M84" s="113">
        <f>VLOOKUP(A84,[3]RESUMEN!$A:$AH,34,1)</f>
        <v>-0.27885064136875526</v>
      </c>
      <c r="N84" s="113">
        <f>VLOOKUP(A84,[3]RESUMEN!$A:$AI,35,1)</f>
        <v>-0.30065869323839567</v>
      </c>
    </row>
    <row r="85" spans="1:14" x14ac:dyDescent="0.25">
      <c r="A85" s="102">
        <v>38226</v>
      </c>
      <c r="B85">
        <v>123.333</v>
      </c>
      <c r="C85">
        <v>182.5</v>
      </c>
      <c r="D85">
        <v>312.25</v>
      </c>
      <c r="E85">
        <v>426.625</v>
      </c>
      <c r="F85">
        <v>1.52</v>
      </c>
      <c r="G85">
        <v>2.1800000000000002</v>
      </c>
      <c r="H85">
        <v>2.6995</v>
      </c>
      <c r="I85">
        <v>2.4270999999999998</v>
      </c>
      <c r="J85">
        <v>3.6790000000000003</v>
      </c>
      <c r="K85">
        <v>0.25216549709988156</v>
      </c>
      <c r="L85" s="112">
        <f>VLOOKUP(A85,[3]RESUMEN!$A:$AE,31,1)</f>
        <v>-0.32246674510803613</v>
      </c>
      <c r="M85" s="113">
        <f>VLOOKUP(A85,[3]RESUMEN!$A:$AH,34,1)</f>
        <v>-0.27885064136875526</v>
      </c>
      <c r="N85" s="113">
        <f>VLOOKUP(A85,[3]RESUMEN!$A:$AI,35,1)</f>
        <v>-0.30065869323839567</v>
      </c>
    </row>
    <row r="86" spans="1:14" x14ac:dyDescent="0.25">
      <c r="A86" s="102">
        <v>38233</v>
      </c>
      <c r="B86">
        <v>106.25</v>
      </c>
      <c r="C86">
        <v>172.5</v>
      </c>
      <c r="D86">
        <v>289.83300000000003</v>
      </c>
      <c r="E86">
        <v>400.66699999999997</v>
      </c>
      <c r="F86">
        <v>1.48</v>
      </c>
      <c r="G86">
        <v>2.3029999999999999</v>
      </c>
      <c r="H86">
        <v>2.819</v>
      </c>
      <c r="I86">
        <v>2.4270999999999998</v>
      </c>
      <c r="J86">
        <v>3.7890000000000001</v>
      </c>
      <c r="K86">
        <v>0.23861374612975961</v>
      </c>
      <c r="L86" s="112">
        <f>VLOOKUP(A86,[3]RESUMEN!$A:$AE,31,1)</f>
        <v>-0.32246674510803613</v>
      </c>
      <c r="M86" s="113">
        <f>VLOOKUP(A86,[3]RESUMEN!$A:$AH,34,1)</f>
        <v>-0.27885064136875526</v>
      </c>
      <c r="N86" s="113">
        <f>VLOOKUP(A86,[3]RESUMEN!$A:$AI,35,1)</f>
        <v>-0.30065869323839567</v>
      </c>
    </row>
    <row r="87" spans="1:14" x14ac:dyDescent="0.25">
      <c r="A87" s="102">
        <v>38240</v>
      </c>
      <c r="B87">
        <v>75</v>
      </c>
      <c r="C87">
        <v>162.5</v>
      </c>
      <c r="D87">
        <v>269.66699999999997</v>
      </c>
      <c r="E87">
        <v>378</v>
      </c>
      <c r="F87">
        <v>1.48</v>
      </c>
      <c r="G87">
        <v>2.2235</v>
      </c>
      <c r="H87">
        <v>2.7095000000000002</v>
      </c>
      <c r="I87">
        <v>2.4270999999999998</v>
      </c>
      <c r="J87">
        <v>3.6459999999999999</v>
      </c>
      <c r="K87">
        <v>0.22672986438742504</v>
      </c>
      <c r="L87" s="112">
        <f>VLOOKUP(A87,[3]RESUMEN!$A:$AE,31,1)</f>
        <v>-0.32246674510803613</v>
      </c>
      <c r="M87" s="113">
        <f>VLOOKUP(A87,[3]RESUMEN!$A:$AH,34,1)</f>
        <v>-0.27885064136875526</v>
      </c>
      <c r="N87" s="113">
        <f>VLOOKUP(A87,[3]RESUMEN!$A:$AI,35,1)</f>
        <v>-0.30065869323839567</v>
      </c>
    </row>
    <row r="88" spans="1:14" x14ac:dyDescent="0.25">
      <c r="A88" s="102">
        <v>38247</v>
      </c>
      <c r="B88">
        <v>98.75</v>
      </c>
      <c r="C88">
        <v>152.5</v>
      </c>
      <c r="D88">
        <v>284.75</v>
      </c>
      <c r="E88">
        <v>397.25</v>
      </c>
      <c r="F88">
        <v>1.58</v>
      </c>
      <c r="G88">
        <v>2.2210000000000001</v>
      </c>
      <c r="H88">
        <v>2.71</v>
      </c>
      <c r="I88">
        <v>2.4270999999999998</v>
      </c>
      <c r="J88">
        <v>3.585</v>
      </c>
      <c r="K88">
        <v>0.23709939738707886</v>
      </c>
      <c r="L88" s="112">
        <f>VLOOKUP(A88,[3]RESUMEN!$A:$AE,31,1)</f>
        <v>-0.32246674510803613</v>
      </c>
      <c r="M88" s="113">
        <f>VLOOKUP(A88,[3]RESUMEN!$A:$AH,34,1)</f>
        <v>-0.27885064136875526</v>
      </c>
      <c r="N88" s="113">
        <f>VLOOKUP(A88,[3]RESUMEN!$A:$AI,35,1)</f>
        <v>-0.30065869323839567</v>
      </c>
    </row>
    <row r="89" spans="1:14" x14ac:dyDescent="0.25">
      <c r="A89" s="102">
        <v>38254</v>
      </c>
      <c r="B89">
        <v>100</v>
      </c>
      <c r="C89">
        <v>160</v>
      </c>
      <c r="D89">
        <v>296</v>
      </c>
      <c r="E89">
        <v>408.5</v>
      </c>
      <c r="F89">
        <v>1.76</v>
      </c>
      <c r="G89">
        <v>2.3325</v>
      </c>
      <c r="H89">
        <v>2.7759999999999998</v>
      </c>
      <c r="I89">
        <v>2.4270999999999998</v>
      </c>
      <c r="J89">
        <v>3.5550000000000002</v>
      </c>
      <c r="K89">
        <v>0.24298163835000564</v>
      </c>
      <c r="L89" s="112">
        <f>VLOOKUP(A89,[3]RESUMEN!$A:$AE,31,1)</f>
        <v>-0.32246674510803613</v>
      </c>
      <c r="M89" s="113">
        <f>VLOOKUP(A89,[3]RESUMEN!$A:$AH,34,1)</f>
        <v>-0.27885064136875526</v>
      </c>
      <c r="N89" s="113">
        <f>VLOOKUP(A89,[3]RESUMEN!$A:$AI,35,1)</f>
        <v>-0.30065869323839567</v>
      </c>
    </row>
    <row r="90" spans="1:14" x14ac:dyDescent="0.25">
      <c r="A90" s="102">
        <v>38261</v>
      </c>
      <c r="B90">
        <v>75</v>
      </c>
      <c r="C90">
        <v>172.5</v>
      </c>
      <c r="D90">
        <v>286.625</v>
      </c>
      <c r="E90">
        <v>393.5</v>
      </c>
      <c r="F90">
        <v>1.8599999999999999</v>
      </c>
      <c r="G90">
        <v>2.3759999999999999</v>
      </c>
      <c r="H90">
        <v>2.8279999999999998</v>
      </c>
      <c r="I90">
        <v>2.4270999999999998</v>
      </c>
      <c r="J90">
        <v>3.6829999999999998</v>
      </c>
      <c r="K90">
        <v>0.23489461340619444</v>
      </c>
      <c r="L90" s="112">
        <f>VLOOKUP(A90,[3]RESUMEN!$A:$AE,31,1)</f>
        <v>-0.30632738056491116</v>
      </c>
      <c r="M90" s="113">
        <f>VLOOKUP(A90,[3]RESUMEN!$A:$AH,34,1)</f>
        <v>-5.1821465383714571E-3</v>
      </c>
      <c r="N90" s="113">
        <f>VLOOKUP(A90,[3]RESUMEN!$A:$AI,35,1)</f>
        <v>-0.15575476355164131</v>
      </c>
    </row>
    <row r="91" spans="1:14" x14ac:dyDescent="0.25">
      <c r="A91" s="102">
        <v>38268</v>
      </c>
      <c r="B91">
        <v>92.5</v>
      </c>
      <c r="C91">
        <v>137.5</v>
      </c>
      <c r="D91">
        <v>251.833</v>
      </c>
      <c r="E91">
        <v>355.33300000000003</v>
      </c>
      <c r="F91">
        <v>1.71</v>
      </c>
      <c r="G91">
        <v>2.3540000000000001</v>
      </c>
      <c r="H91">
        <v>2.7850000000000001</v>
      </c>
      <c r="I91">
        <v>2.4270999999999998</v>
      </c>
      <c r="J91">
        <v>3.6619999999999999</v>
      </c>
      <c r="K91">
        <v>0.21452413669338144</v>
      </c>
      <c r="L91" s="112">
        <f>VLOOKUP(A91,[3]RESUMEN!$A:$AE,31,1)</f>
        <v>-0.30632738056491116</v>
      </c>
      <c r="M91" s="113">
        <f>VLOOKUP(A91,[3]RESUMEN!$A:$AH,34,1)</f>
        <v>-5.1821465383714571E-3</v>
      </c>
      <c r="N91" s="113">
        <f>VLOOKUP(A91,[3]RESUMEN!$A:$AI,35,1)</f>
        <v>-0.15575476355164131</v>
      </c>
    </row>
    <row r="92" spans="1:14" x14ac:dyDescent="0.25">
      <c r="A92" s="102">
        <v>38275</v>
      </c>
      <c r="B92">
        <v>98.75</v>
      </c>
      <c r="C92">
        <v>165</v>
      </c>
      <c r="D92">
        <v>299.5</v>
      </c>
      <c r="E92">
        <v>407.25</v>
      </c>
      <c r="F92">
        <v>1.79</v>
      </c>
      <c r="G92">
        <v>2.3039999999999998</v>
      </c>
      <c r="H92">
        <v>2.7155</v>
      </c>
      <c r="I92">
        <v>2.4270999999999998</v>
      </c>
      <c r="J92">
        <v>3.5550000000000002</v>
      </c>
      <c r="K92">
        <v>0.24214358494353794</v>
      </c>
      <c r="L92" s="112">
        <f>VLOOKUP(A92,[3]RESUMEN!$A:$AE,31,1)</f>
        <v>-0.30632738056491116</v>
      </c>
      <c r="M92" s="113">
        <f>VLOOKUP(A92,[3]RESUMEN!$A:$AH,34,1)</f>
        <v>-5.1821465383714571E-3</v>
      </c>
      <c r="N92" s="113">
        <f>VLOOKUP(A92,[3]RESUMEN!$A:$AI,35,1)</f>
        <v>-0.15575476355164131</v>
      </c>
    </row>
    <row r="93" spans="1:14" x14ac:dyDescent="0.25">
      <c r="A93" s="102">
        <v>38282</v>
      </c>
      <c r="B93">
        <v>75</v>
      </c>
      <c r="C93">
        <v>173.5</v>
      </c>
      <c r="D93">
        <v>282.75</v>
      </c>
      <c r="E93">
        <v>393</v>
      </c>
      <c r="F93">
        <v>1.72</v>
      </c>
      <c r="G93">
        <v>2.3540000000000001</v>
      </c>
      <c r="H93">
        <v>2.7265000000000001</v>
      </c>
      <c r="I93">
        <v>2.4270999999999998</v>
      </c>
      <c r="J93">
        <v>3.5169999999999999</v>
      </c>
      <c r="K93">
        <v>0.23468044913468356</v>
      </c>
      <c r="L93" s="112">
        <f>VLOOKUP(A93,[3]RESUMEN!$A:$AE,31,1)</f>
        <v>-0.30632738056491116</v>
      </c>
      <c r="M93" s="113">
        <f>VLOOKUP(A93,[3]RESUMEN!$A:$AH,34,1)</f>
        <v>-5.1821465383714571E-3</v>
      </c>
      <c r="N93" s="113">
        <f>VLOOKUP(A93,[3]RESUMEN!$A:$AI,35,1)</f>
        <v>-0.15575476355164131</v>
      </c>
    </row>
    <row r="94" spans="1:14" x14ac:dyDescent="0.25">
      <c r="A94" s="102">
        <v>38289</v>
      </c>
      <c r="B94">
        <v>95</v>
      </c>
      <c r="C94">
        <v>168.5</v>
      </c>
      <c r="D94">
        <v>280.33300000000003</v>
      </c>
      <c r="E94">
        <v>390.66699999999997</v>
      </c>
      <c r="F94">
        <v>1.79</v>
      </c>
      <c r="G94">
        <v>2.4125000000000001</v>
      </c>
      <c r="H94">
        <v>2.7694999999999999</v>
      </c>
      <c r="I94">
        <v>2.4270999999999998</v>
      </c>
      <c r="J94">
        <v>3.56</v>
      </c>
      <c r="K94">
        <v>0.23343027652299331</v>
      </c>
      <c r="L94" s="112">
        <f>VLOOKUP(A94,[3]RESUMEN!$A:$AE,31,1)</f>
        <v>-0.30632738056491116</v>
      </c>
      <c r="M94" s="113">
        <f>VLOOKUP(A94,[3]RESUMEN!$A:$AH,34,1)</f>
        <v>-5.1821465383714571E-3</v>
      </c>
      <c r="N94" s="113">
        <f>VLOOKUP(A94,[3]RESUMEN!$A:$AI,35,1)</f>
        <v>-0.15575476355164131</v>
      </c>
    </row>
    <row r="95" spans="1:14" x14ac:dyDescent="0.25">
      <c r="A95" s="102">
        <v>38296</v>
      </c>
      <c r="B95">
        <v>90</v>
      </c>
      <c r="C95">
        <v>140</v>
      </c>
      <c r="D95">
        <v>257.16699999999997</v>
      </c>
      <c r="E95">
        <v>365.5</v>
      </c>
      <c r="F95">
        <v>1.76</v>
      </c>
      <c r="G95">
        <v>2.6539999999999999</v>
      </c>
      <c r="H95">
        <v>3.0110000000000001</v>
      </c>
      <c r="I95">
        <v>2.4270999999999998</v>
      </c>
      <c r="J95">
        <v>3.7730000000000001</v>
      </c>
      <c r="K95">
        <v>0.22016173979495013</v>
      </c>
      <c r="L95" s="112">
        <f>VLOOKUP(A95,[3]RESUMEN!$A:$AE,31,1)</f>
        <v>-0.30632738056491116</v>
      </c>
      <c r="M95" s="113">
        <f>VLOOKUP(A95,[3]RESUMEN!$A:$AH,34,1)</f>
        <v>-5.1821465383714571E-3</v>
      </c>
      <c r="N95" s="113">
        <f>VLOOKUP(A95,[3]RESUMEN!$A:$AI,35,1)</f>
        <v>-0.15575476355164131</v>
      </c>
    </row>
    <row r="96" spans="1:14" x14ac:dyDescent="0.25">
      <c r="A96" s="102">
        <v>38303</v>
      </c>
      <c r="B96">
        <v>105</v>
      </c>
      <c r="C96">
        <v>142.5</v>
      </c>
      <c r="D96">
        <v>279.125</v>
      </c>
      <c r="E96">
        <v>388.5</v>
      </c>
      <c r="F96">
        <v>2.02</v>
      </c>
      <c r="G96">
        <v>2.677</v>
      </c>
      <c r="H96">
        <v>3.0615000000000001</v>
      </c>
      <c r="I96">
        <v>2.4270999999999998</v>
      </c>
      <c r="J96">
        <v>3.7930000000000001</v>
      </c>
      <c r="K96">
        <v>0.23245787086704872</v>
      </c>
      <c r="L96" s="112">
        <f>VLOOKUP(A96,[3]RESUMEN!$A:$AE,31,1)</f>
        <v>-0.30632738056491116</v>
      </c>
      <c r="M96" s="113">
        <f>VLOOKUP(A96,[3]RESUMEN!$A:$AH,34,1)</f>
        <v>-5.1821465383714571E-3</v>
      </c>
      <c r="N96" s="113">
        <f>VLOOKUP(A96,[3]RESUMEN!$A:$AI,35,1)</f>
        <v>-0.15575476355164131</v>
      </c>
    </row>
    <row r="97" spans="1:14" x14ac:dyDescent="0.25">
      <c r="A97" s="102">
        <v>38310</v>
      </c>
      <c r="B97">
        <v>62.5</v>
      </c>
      <c r="C97">
        <v>115</v>
      </c>
      <c r="D97">
        <v>222.167</v>
      </c>
      <c r="E97">
        <v>334.66699999999997</v>
      </c>
      <c r="F97">
        <v>1.99</v>
      </c>
      <c r="G97">
        <v>2.7800000000000002</v>
      </c>
      <c r="H97">
        <v>3.1625000000000001</v>
      </c>
      <c r="I97">
        <v>2.4270999999999998</v>
      </c>
      <c r="J97">
        <v>3.8159999999999998</v>
      </c>
      <c r="K97">
        <v>0.20373467482131724</v>
      </c>
      <c r="L97" s="112">
        <f>VLOOKUP(A97,[3]RESUMEN!$A:$AE,31,1)</f>
        <v>-0.30632738056491116</v>
      </c>
      <c r="M97" s="113">
        <f>VLOOKUP(A97,[3]RESUMEN!$A:$AH,34,1)</f>
        <v>-5.1821465383714571E-3</v>
      </c>
      <c r="N97" s="113">
        <f>VLOOKUP(A97,[3]RESUMEN!$A:$AI,35,1)</f>
        <v>-0.15575476355164131</v>
      </c>
    </row>
    <row r="98" spans="1:14" x14ac:dyDescent="0.25">
      <c r="A98" s="102">
        <v>38317</v>
      </c>
      <c r="B98">
        <v>92.5</v>
      </c>
      <c r="C98">
        <v>105</v>
      </c>
      <c r="D98">
        <v>241</v>
      </c>
      <c r="E98">
        <v>353.5</v>
      </c>
      <c r="F98">
        <v>2.0099999999999998</v>
      </c>
      <c r="G98">
        <v>2.8330000000000002</v>
      </c>
      <c r="H98">
        <v>3.2519999999999998</v>
      </c>
      <c r="I98">
        <v>2.4270999999999998</v>
      </c>
      <c r="J98">
        <v>3.8919999999999999</v>
      </c>
      <c r="K98">
        <v>0.2140717956438678</v>
      </c>
      <c r="L98" s="112">
        <f>VLOOKUP(A98,[3]RESUMEN!$A:$AE,31,1)</f>
        <v>-0.30632738056491116</v>
      </c>
      <c r="M98" s="113">
        <f>VLOOKUP(A98,[3]RESUMEN!$A:$AH,34,1)</f>
        <v>-5.1821465383714571E-3</v>
      </c>
      <c r="N98" s="113">
        <f>VLOOKUP(A98,[3]RESUMEN!$A:$AI,35,1)</f>
        <v>-0.15575476355164131</v>
      </c>
    </row>
    <row r="99" spans="1:14" x14ac:dyDescent="0.25">
      <c r="A99" s="102">
        <v>38324</v>
      </c>
      <c r="B99">
        <v>80</v>
      </c>
      <c r="C99">
        <v>112.5</v>
      </c>
      <c r="D99">
        <v>240.5</v>
      </c>
      <c r="E99">
        <v>357.5</v>
      </c>
      <c r="F99">
        <v>1.98</v>
      </c>
      <c r="G99">
        <v>2.7970000000000002</v>
      </c>
      <c r="H99">
        <v>3.157</v>
      </c>
      <c r="I99">
        <v>2.4270999999999998</v>
      </c>
      <c r="J99">
        <v>3.8660000000000001</v>
      </c>
      <c r="K99">
        <v>0.21596273833025503</v>
      </c>
      <c r="L99" s="112">
        <f>VLOOKUP(A99,[3]RESUMEN!$A:$AE,31,1)</f>
        <v>-0.30632738056491116</v>
      </c>
      <c r="M99" s="113">
        <f>VLOOKUP(A99,[3]RESUMEN!$A:$AH,34,1)</f>
        <v>-5.1821465383714571E-3</v>
      </c>
      <c r="N99" s="113">
        <f>VLOOKUP(A99,[3]RESUMEN!$A:$AI,35,1)</f>
        <v>-0.15575476355164131</v>
      </c>
    </row>
    <row r="100" spans="1:14" x14ac:dyDescent="0.25">
      <c r="A100" s="102">
        <v>38331</v>
      </c>
      <c r="B100">
        <v>66.667000000000002</v>
      </c>
      <c r="C100">
        <v>115</v>
      </c>
      <c r="D100">
        <v>206.333</v>
      </c>
      <c r="E100">
        <v>320.33300000000003</v>
      </c>
      <c r="F100">
        <v>2.09</v>
      </c>
      <c r="G100">
        <v>2.8239999999999998</v>
      </c>
      <c r="H100">
        <v>3.1549999999999998</v>
      </c>
      <c r="I100">
        <v>2.4270999999999998</v>
      </c>
      <c r="J100">
        <v>3.7130000000000001</v>
      </c>
      <c r="K100">
        <v>0.19575197827293378</v>
      </c>
      <c r="L100" s="112">
        <f>VLOOKUP(A100,[3]RESUMEN!$A:$AE,31,1)</f>
        <v>-0.30632738056491116</v>
      </c>
      <c r="M100" s="113">
        <f>VLOOKUP(A100,[3]RESUMEN!$A:$AH,34,1)</f>
        <v>-5.1821465383714571E-3</v>
      </c>
      <c r="N100" s="113">
        <f>VLOOKUP(A100,[3]RESUMEN!$A:$AI,35,1)</f>
        <v>-0.15575476355164131</v>
      </c>
    </row>
    <row r="101" spans="1:14" x14ac:dyDescent="0.25">
      <c r="A101" s="102">
        <v>38338</v>
      </c>
      <c r="B101">
        <v>80</v>
      </c>
      <c r="C101">
        <v>105</v>
      </c>
      <c r="D101">
        <v>230.5</v>
      </c>
      <c r="E101">
        <v>346.75</v>
      </c>
      <c r="F101">
        <v>2.23</v>
      </c>
      <c r="G101">
        <v>2.9335</v>
      </c>
      <c r="H101">
        <v>3.2675000000000001</v>
      </c>
      <c r="I101">
        <v>2.4270999999999998</v>
      </c>
      <c r="J101">
        <v>3.8380000000000001</v>
      </c>
      <c r="K101">
        <v>0.21046326706958796</v>
      </c>
      <c r="L101" s="112">
        <f>VLOOKUP(A101,[3]RESUMEN!$A:$AE,31,1)</f>
        <v>-0.30632738056491116</v>
      </c>
      <c r="M101" s="113">
        <f>VLOOKUP(A101,[3]RESUMEN!$A:$AH,34,1)</f>
        <v>-5.1821465383714571E-3</v>
      </c>
      <c r="N101" s="113">
        <f>VLOOKUP(A101,[3]RESUMEN!$A:$AI,35,1)</f>
        <v>-0.15575476355164131</v>
      </c>
    </row>
    <row r="102" spans="1:14" x14ac:dyDescent="0.25">
      <c r="A102" s="102">
        <v>38345</v>
      </c>
      <c r="B102">
        <v>85</v>
      </c>
      <c r="C102">
        <v>105</v>
      </c>
      <c r="D102">
        <v>249</v>
      </c>
      <c r="E102">
        <v>360.66699999999997</v>
      </c>
      <c r="F102">
        <v>2.27</v>
      </c>
      <c r="G102">
        <v>2.9489999999999998</v>
      </c>
      <c r="H102">
        <v>3.2909999999999999</v>
      </c>
      <c r="I102">
        <v>2.4270999999999998</v>
      </c>
      <c r="J102">
        <v>3.8529999999999998</v>
      </c>
      <c r="K102">
        <v>0.2179983145275336</v>
      </c>
      <c r="L102" s="112">
        <f>VLOOKUP(A102,[3]RESUMEN!$A:$AE,31,1)</f>
        <v>-0.30632738056491116</v>
      </c>
      <c r="M102" s="113">
        <f>VLOOKUP(A102,[3]RESUMEN!$A:$AH,34,1)</f>
        <v>-5.1821465383714571E-3</v>
      </c>
      <c r="N102" s="113">
        <f>VLOOKUP(A102,[3]RESUMEN!$A:$AI,35,1)</f>
        <v>-0.15575476355164131</v>
      </c>
    </row>
    <row r="103" spans="1:14" x14ac:dyDescent="0.25">
      <c r="A103" s="102">
        <v>38352</v>
      </c>
      <c r="B103">
        <v>78.75</v>
      </c>
      <c r="C103">
        <v>107.5</v>
      </c>
      <c r="D103">
        <v>227.25</v>
      </c>
      <c r="E103">
        <v>341</v>
      </c>
      <c r="F103">
        <v>1.97</v>
      </c>
      <c r="G103">
        <v>2.9619999999999997</v>
      </c>
      <c r="H103">
        <v>3.3109999999999999</v>
      </c>
      <c r="I103">
        <v>2.4270999999999998</v>
      </c>
      <c r="J103">
        <v>3.8919999999999999</v>
      </c>
      <c r="K103">
        <v>0.20727127753725283</v>
      </c>
      <c r="L103" s="112">
        <f>VLOOKUP(A103,[3]RESUMEN!$A:$AE,31,1)</f>
        <v>-0.27604159149103857</v>
      </c>
      <c r="M103" s="113">
        <f>VLOOKUP(A103,[3]RESUMEN!$A:$AH,34,1)</f>
        <v>0.56563584906964637</v>
      </c>
      <c r="N103" s="113">
        <f>VLOOKUP(A103,[3]RESUMEN!$A:$AI,35,1)</f>
        <v>0.1447971287893039</v>
      </c>
    </row>
    <row r="104" spans="1:14" x14ac:dyDescent="0.25">
      <c r="A104" s="102">
        <v>38359</v>
      </c>
      <c r="B104">
        <v>63.75</v>
      </c>
      <c r="C104">
        <v>130</v>
      </c>
      <c r="D104">
        <v>207.167</v>
      </c>
      <c r="E104">
        <v>313.83300000000003</v>
      </c>
      <c r="F104">
        <v>2.2400000000000002</v>
      </c>
      <c r="G104">
        <v>3.07</v>
      </c>
      <c r="H104">
        <v>3.4205000000000001</v>
      </c>
      <c r="I104">
        <v>2.4270999999999998</v>
      </c>
      <c r="J104">
        <v>3.9830000000000001</v>
      </c>
      <c r="K104">
        <v>0.19193591742117777</v>
      </c>
      <c r="L104" s="112">
        <f>VLOOKUP(A104,[3]RESUMEN!$A:$AE,31,1)</f>
        <v>-0.27604159149103857</v>
      </c>
      <c r="M104" s="113">
        <f>VLOOKUP(A104,[3]RESUMEN!$A:$AH,34,1)</f>
        <v>0.56563584906964637</v>
      </c>
      <c r="N104" s="113">
        <f>VLOOKUP(A104,[3]RESUMEN!$A:$AI,35,1)</f>
        <v>0.1447971287893039</v>
      </c>
    </row>
    <row r="105" spans="1:14" x14ac:dyDescent="0.25">
      <c r="A105" s="102">
        <v>38366</v>
      </c>
      <c r="B105">
        <v>53.75</v>
      </c>
      <c r="C105">
        <v>135</v>
      </c>
      <c r="D105">
        <v>215.333</v>
      </c>
      <c r="E105">
        <v>323.33300000000003</v>
      </c>
      <c r="F105">
        <v>2.29</v>
      </c>
      <c r="G105">
        <v>3.1</v>
      </c>
      <c r="H105">
        <v>3.4380000000000002</v>
      </c>
      <c r="I105">
        <v>2.4270999999999998</v>
      </c>
      <c r="J105">
        <v>3.9329999999999998</v>
      </c>
      <c r="K105">
        <v>0.19727314516582117</v>
      </c>
      <c r="L105" s="112">
        <f>VLOOKUP(A105,[3]RESUMEN!$A:$AE,31,1)</f>
        <v>-0.27604159149103857</v>
      </c>
      <c r="M105" s="113">
        <f>VLOOKUP(A105,[3]RESUMEN!$A:$AH,34,1)</f>
        <v>0.56563584906964637</v>
      </c>
      <c r="N105" s="113">
        <f>VLOOKUP(A105,[3]RESUMEN!$A:$AI,35,1)</f>
        <v>0.1447971287893039</v>
      </c>
    </row>
    <row r="106" spans="1:14" x14ac:dyDescent="0.25">
      <c r="A106" s="102">
        <v>38373</v>
      </c>
      <c r="B106">
        <v>51.667000000000002</v>
      </c>
      <c r="C106">
        <v>140</v>
      </c>
      <c r="D106">
        <v>219.875</v>
      </c>
      <c r="E106">
        <v>344.125</v>
      </c>
      <c r="F106">
        <v>2.2599999999999998</v>
      </c>
      <c r="G106">
        <v>3.077</v>
      </c>
      <c r="H106">
        <v>3.391</v>
      </c>
      <c r="I106">
        <v>2.4270999999999998</v>
      </c>
      <c r="J106">
        <v>3.8820000000000001</v>
      </c>
      <c r="K106">
        <v>0.20893321196227121</v>
      </c>
      <c r="L106" s="112">
        <f>VLOOKUP(A106,[3]RESUMEN!$A:$AE,31,1)</f>
        <v>-0.27604159149103857</v>
      </c>
      <c r="M106" s="113">
        <f>VLOOKUP(A106,[3]RESUMEN!$A:$AH,34,1)</f>
        <v>0.56563584906964637</v>
      </c>
      <c r="N106" s="113">
        <f>VLOOKUP(A106,[3]RESUMEN!$A:$AI,35,1)</f>
        <v>0.1447971287893039</v>
      </c>
    </row>
    <row r="107" spans="1:14" x14ac:dyDescent="0.25">
      <c r="A107" s="102">
        <v>38380</v>
      </c>
      <c r="B107">
        <v>71.667000000000002</v>
      </c>
      <c r="C107">
        <v>140</v>
      </c>
      <c r="D107">
        <v>219.25</v>
      </c>
      <c r="E107">
        <v>334.25</v>
      </c>
      <c r="F107">
        <v>2.48</v>
      </c>
      <c r="G107">
        <v>3.1225000000000001</v>
      </c>
      <c r="H107">
        <v>3.4584999999999999</v>
      </c>
      <c r="I107">
        <v>2.4270999999999998</v>
      </c>
      <c r="J107">
        <v>3.927</v>
      </c>
      <c r="K107">
        <v>0.20329514385853709</v>
      </c>
      <c r="L107" s="112">
        <f>VLOOKUP(A107,[3]RESUMEN!$A:$AE,31,1)</f>
        <v>-0.27604159149103857</v>
      </c>
      <c r="M107" s="113">
        <f>VLOOKUP(A107,[3]RESUMEN!$A:$AH,34,1)</f>
        <v>0.56563584906964637</v>
      </c>
      <c r="N107" s="113">
        <f>VLOOKUP(A107,[3]RESUMEN!$A:$AI,35,1)</f>
        <v>0.1447971287893039</v>
      </c>
    </row>
    <row r="108" spans="1:14" x14ac:dyDescent="0.25">
      <c r="A108" s="102">
        <v>38387</v>
      </c>
      <c r="B108">
        <v>76</v>
      </c>
      <c r="C108">
        <v>135</v>
      </c>
      <c r="D108">
        <v>213.333</v>
      </c>
      <c r="E108">
        <v>325.66699999999997</v>
      </c>
      <c r="F108">
        <v>2.5099999999999998</v>
      </c>
      <c r="G108">
        <v>3.177</v>
      </c>
      <c r="H108">
        <v>3.5154999999999998</v>
      </c>
      <c r="I108">
        <v>2.4270999999999998</v>
      </c>
      <c r="J108">
        <v>3.9239999999999999</v>
      </c>
      <c r="K108">
        <v>0.19855887951748774</v>
      </c>
      <c r="L108" s="112">
        <f>VLOOKUP(A108,[3]RESUMEN!$A:$AE,31,1)</f>
        <v>-0.27604159149103857</v>
      </c>
      <c r="M108" s="113">
        <f>VLOOKUP(A108,[3]RESUMEN!$A:$AH,34,1)</f>
        <v>0.56563584906964637</v>
      </c>
      <c r="N108" s="113">
        <f>VLOOKUP(A108,[3]RESUMEN!$A:$AI,35,1)</f>
        <v>0.1447971287893039</v>
      </c>
    </row>
    <row r="109" spans="1:14" x14ac:dyDescent="0.25">
      <c r="A109" s="102">
        <v>38394</v>
      </c>
      <c r="B109">
        <v>58.332999999999998</v>
      </c>
      <c r="C109">
        <v>135</v>
      </c>
      <c r="D109">
        <v>204.5</v>
      </c>
      <c r="E109">
        <v>315.125</v>
      </c>
      <c r="F109">
        <v>2.5</v>
      </c>
      <c r="G109">
        <v>3.2280000000000002</v>
      </c>
      <c r="H109">
        <v>3.54</v>
      </c>
      <c r="I109">
        <v>2.4270999999999998</v>
      </c>
      <c r="J109">
        <v>3.9370000000000003</v>
      </c>
      <c r="K109">
        <v>0.19273456172617209</v>
      </c>
      <c r="L109" s="112">
        <f>VLOOKUP(A109,[3]RESUMEN!$A:$AE,31,1)</f>
        <v>-0.27604159149103857</v>
      </c>
      <c r="M109" s="113">
        <f>VLOOKUP(A109,[3]RESUMEN!$A:$AH,34,1)</f>
        <v>0.56563584906964637</v>
      </c>
      <c r="N109" s="113">
        <f>VLOOKUP(A109,[3]RESUMEN!$A:$AI,35,1)</f>
        <v>0.1447971287893039</v>
      </c>
    </row>
    <row r="110" spans="1:14" x14ac:dyDescent="0.25">
      <c r="A110" s="102">
        <v>38401</v>
      </c>
      <c r="B110">
        <v>54.75</v>
      </c>
      <c r="C110">
        <v>121.333</v>
      </c>
      <c r="D110">
        <v>190.833</v>
      </c>
      <c r="E110">
        <v>301.5</v>
      </c>
      <c r="F110">
        <v>2.5099999999999998</v>
      </c>
      <c r="G110">
        <v>3.3340000000000001</v>
      </c>
      <c r="H110">
        <v>3.6739999999999999</v>
      </c>
      <c r="I110">
        <v>2.4270999999999998</v>
      </c>
      <c r="J110">
        <v>4.0990000000000002</v>
      </c>
      <c r="K110">
        <v>0.18523766749680226</v>
      </c>
      <c r="L110" s="112">
        <f>VLOOKUP(A110,[3]RESUMEN!$A:$AE,31,1)</f>
        <v>-0.27604159149103857</v>
      </c>
      <c r="M110" s="113">
        <f>VLOOKUP(A110,[3]RESUMEN!$A:$AH,34,1)</f>
        <v>0.56563584906964637</v>
      </c>
      <c r="N110" s="113">
        <f>VLOOKUP(A110,[3]RESUMEN!$A:$AI,35,1)</f>
        <v>0.1447971287893039</v>
      </c>
    </row>
    <row r="111" spans="1:14" x14ac:dyDescent="0.25">
      <c r="A111" s="102">
        <v>38408</v>
      </c>
      <c r="B111">
        <v>60</v>
      </c>
      <c r="C111">
        <v>129</v>
      </c>
      <c r="D111">
        <v>203.125</v>
      </c>
      <c r="E111">
        <v>310.125</v>
      </c>
      <c r="F111">
        <v>2.54</v>
      </c>
      <c r="G111">
        <v>3.399</v>
      </c>
      <c r="H111">
        <v>3.75</v>
      </c>
      <c r="I111">
        <v>2.4270999999999998</v>
      </c>
      <c r="J111">
        <v>4.1565000000000003</v>
      </c>
      <c r="K111">
        <v>0.18993946220919145</v>
      </c>
      <c r="L111" s="112">
        <f>VLOOKUP(A111,[3]RESUMEN!$A:$AE,31,1)</f>
        <v>-0.27604159149103857</v>
      </c>
      <c r="M111" s="113">
        <f>VLOOKUP(A111,[3]RESUMEN!$A:$AH,34,1)</f>
        <v>0.56563584906964637</v>
      </c>
      <c r="N111" s="113">
        <f>VLOOKUP(A111,[3]RESUMEN!$A:$AI,35,1)</f>
        <v>0.1447971287893039</v>
      </c>
    </row>
    <row r="112" spans="1:14" x14ac:dyDescent="0.25">
      <c r="A112" s="102">
        <v>38415</v>
      </c>
      <c r="B112">
        <v>58.25</v>
      </c>
      <c r="C112">
        <v>127</v>
      </c>
      <c r="D112">
        <v>199.875</v>
      </c>
      <c r="E112">
        <v>303.5</v>
      </c>
      <c r="F112">
        <v>2.5</v>
      </c>
      <c r="G112">
        <v>3.4340000000000002</v>
      </c>
      <c r="H112">
        <v>3.7880000000000003</v>
      </c>
      <c r="I112">
        <v>2.4270999999999998</v>
      </c>
      <c r="J112">
        <v>4.1870000000000003</v>
      </c>
      <c r="K112">
        <v>0.18619860238152364</v>
      </c>
      <c r="L112" s="112">
        <f>VLOOKUP(A112,[3]RESUMEN!$A:$AE,31,1)</f>
        <v>-0.27604159149103857</v>
      </c>
      <c r="M112" s="113">
        <f>VLOOKUP(A112,[3]RESUMEN!$A:$AH,34,1)</f>
        <v>0.56563584906964637</v>
      </c>
      <c r="N112" s="113">
        <f>VLOOKUP(A112,[3]RESUMEN!$A:$AI,35,1)</f>
        <v>0.1447971287893039</v>
      </c>
    </row>
    <row r="113" spans="1:14" x14ac:dyDescent="0.25">
      <c r="A113" s="102">
        <v>38422</v>
      </c>
      <c r="B113">
        <v>63.25</v>
      </c>
      <c r="C113">
        <v>145.333</v>
      </c>
      <c r="D113">
        <v>211.7</v>
      </c>
      <c r="E113">
        <v>314.39999999999998</v>
      </c>
      <c r="F113">
        <v>2.5099999999999998</v>
      </c>
      <c r="G113">
        <v>3.5394999999999999</v>
      </c>
      <c r="H113">
        <v>3.9605000000000001</v>
      </c>
      <c r="I113">
        <v>2.4270999999999998</v>
      </c>
      <c r="J113">
        <v>4.4779999999999998</v>
      </c>
      <c r="K113">
        <v>0.19210033466381493</v>
      </c>
      <c r="L113" s="112">
        <f>VLOOKUP(A113,[3]RESUMEN!$A:$AE,31,1)</f>
        <v>-0.27604159149103857</v>
      </c>
      <c r="M113" s="113">
        <f>VLOOKUP(A113,[3]RESUMEN!$A:$AH,34,1)</f>
        <v>0.56563584906964637</v>
      </c>
      <c r="N113" s="113">
        <f>VLOOKUP(A113,[3]RESUMEN!$A:$AI,35,1)</f>
        <v>0.1447971287893039</v>
      </c>
    </row>
    <row r="114" spans="1:14" x14ac:dyDescent="0.25">
      <c r="A114" s="102">
        <v>38429</v>
      </c>
      <c r="B114">
        <v>81</v>
      </c>
      <c r="C114">
        <v>170</v>
      </c>
      <c r="D114">
        <v>255.75</v>
      </c>
      <c r="E114">
        <v>362.375</v>
      </c>
      <c r="F114">
        <v>2.7</v>
      </c>
      <c r="G114">
        <v>3.577</v>
      </c>
      <c r="H114">
        <v>3.9605000000000001</v>
      </c>
      <c r="I114">
        <v>2.4270999999999998</v>
      </c>
      <c r="J114">
        <v>4.4474999999999998</v>
      </c>
      <c r="K114">
        <v>0.21816856699454235</v>
      </c>
      <c r="L114" s="112">
        <f>VLOOKUP(A114,[3]RESUMEN!$A:$AE,31,1)</f>
        <v>-0.27604159149103857</v>
      </c>
      <c r="M114" s="113">
        <f>VLOOKUP(A114,[3]RESUMEN!$A:$AH,34,1)</f>
        <v>0.56563584906964637</v>
      </c>
      <c r="N114" s="113">
        <f>VLOOKUP(A114,[3]RESUMEN!$A:$AI,35,1)</f>
        <v>0.1447971287893039</v>
      </c>
    </row>
    <row r="115" spans="1:14" x14ac:dyDescent="0.25">
      <c r="A115" s="102">
        <v>38436</v>
      </c>
      <c r="B115">
        <v>109.375</v>
      </c>
      <c r="C115">
        <v>245.333</v>
      </c>
      <c r="D115">
        <v>337.16699999999997</v>
      </c>
      <c r="E115">
        <v>443.16699999999997</v>
      </c>
      <c r="F115">
        <v>2.8</v>
      </c>
      <c r="G115">
        <v>3.677</v>
      </c>
      <c r="H115">
        <v>4.141</v>
      </c>
      <c r="I115">
        <v>2.4270999999999998</v>
      </c>
      <c r="J115">
        <v>4.6050000000000004</v>
      </c>
      <c r="K115">
        <v>0.25970647689567172</v>
      </c>
      <c r="L115" s="112">
        <f>VLOOKUP(A115,[3]RESUMEN!$A:$AE,31,1)</f>
        <v>-0.27604159149103857</v>
      </c>
      <c r="M115" s="113">
        <f>VLOOKUP(A115,[3]RESUMEN!$A:$AH,34,1)</f>
        <v>0.56563584906964637</v>
      </c>
      <c r="N115" s="113">
        <f>VLOOKUP(A115,[3]RESUMEN!$A:$AI,35,1)</f>
        <v>0.1447971287893039</v>
      </c>
    </row>
    <row r="116" spans="1:14" x14ac:dyDescent="0.25">
      <c r="A116" s="102">
        <v>38443</v>
      </c>
      <c r="B116">
        <v>85.5</v>
      </c>
      <c r="C116">
        <v>208.667</v>
      </c>
      <c r="D116">
        <v>299.83300000000003</v>
      </c>
      <c r="E116">
        <v>411.16699999999997</v>
      </c>
      <c r="F116">
        <v>2.83</v>
      </c>
      <c r="G116">
        <v>3.6259999999999999</v>
      </c>
      <c r="H116">
        <v>4</v>
      </c>
      <c r="I116">
        <v>2.4270999999999998</v>
      </c>
      <c r="J116">
        <v>4.4539999999999997</v>
      </c>
      <c r="K116">
        <v>0.243828425216571</v>
      </c>
      <c r="L116" s="112">
        <f>VLOOKUP(A116,[3]RESUMEN!$A:$AE,31,1)</f>
        <v>-0.25007017292492917</v>
      </c>
      <c r="M116" s="113">
        <f>VLOOKUP(A116,[3]RESUMEN!$A:$AH,34,1)</f>
        <v>0.25741563854927335</v>
      </c>
      <c r="N116" s="113">
        <f>VLOOKUP(A116,[3]RESUMEN!$A:$AI,35,1)</f>
        <v>3.6727328121720915E-3</v>
      </c>
    </row>
    <row r="117" spans="1:14" x14ac:dyDescent="0.25">
      <c r="A117" s="102">
        <v>38450</v>
      </c>
      <c r="B117">
        <v>87.125</v>
      </c>
      <c r="C117">
        <v>191.333</v>
      </c>
      <c r="D117">
        <v>289.83300000000003</v>
      </c>
      <c r="E117">
        <v>399</v>
      </c>
      <c r="F117">
        <v>2.75</v>
      </c>
      <c r="G117">
        <v>3.67</v>
      </c>
      <c r="H117">
        <v>4.0339999999999998</v>
      </c>
      <c r="I117">
        <v>2.4270999999999998</v>
      </c>
      <c r="J117">
        <v>4.4859999999999998</v>
      </c>
      <c r="K117">
        <v>0.23761181404078702</v>
      </c>
      <c r="L117" s="112">
        <f>VLOOKUP(A117,[3]RESUMEN!$A:$AE,31,1)</f>
        <v>-0.25007017292492917</v>
      </c>
      <c r="M117" s="113">
        <f>VLOOKUP(A117,[3]RESUMEN!$A:$AH,34,1)</f>
        <v>0.25741563854927335</v>
      </c>
      <c r="N117" s="113">
        <f>VLOOKUP(A117,[3]RESUMEN!$A:$AI,35,1)</f>
        <v>3.6727328121720915E-3</v>
      </c>
    </row>
    <row r="118" spans="1:14" x14ac:dyDescent="0.25">
      <c r="A118" s="102">
        <v>38457</v>
      </c>
      <c r="B118">
        <v>84.25</v>
      </c>
      <c r="C118">
        <v>209.5</v>
      </c>
      <c r="D118">
        <v>310.33300000000003</v>
      </c>
      <c r="E118">
        <v>426.16699999999997</v>
      </c>
      <c r="F118">
        <v>2.82</v>
      </c>
      <c r="G118">
        <v>3.4950000000000001</v>
      </c>
      <c r="H118">
        <v>3.7850000000000001</v>
      </c>
      <c r="I118">
        <v>2.4270999999999998</v>
      </c>
      <c r="J118">
        <v>4.2214999999999998</v>
      </c>
      <c r="K118">
        <v>0.25177431494416813</v>
      </c>
      <c r="L118" s="112">
        <f>VLOOKUP(A118,[3]RESUMEN!$A:$AE,31,1)</f>
        <v>-0.25007017292492917</v>
      </c>
      <c r="M118" s="113">
        <f>VLOOKUP(A118,[3]RESUMEN!$A:$AH,34,1)</f>
        <v>0.25741563854927335</v>
      </c>
      <c r="N118" s="113">
        <f>VLOOKUP(A118,[3]RESUMEN!$A:$AI,35,1)</f>
        <v>3.6727328121720915E-3</v>
      </c>
    </row>
    <row r="119" spans="1:14" x14ac:dyDescent="0.25">
      <c r="A119" s="102">
        <v>38464</v>
      </c>
      <c r="B119">
        <v>78.167000000000002</v>
      </c>
      <c r="C119">
        <v>184.5</v>
      </c>
      <c r="D119">
        <v>284.25</v>
      </c>
      <c r="E119">
        <v>398.25</v>
      </c>
      <c r="F119">
        <v>2.74</v>
      </c>
      <c r="G119">
        <v>3.5670000000000002</v>
      </c>
      <c r="H119">
        <v>3.87</v>
      </c>
      <c r="I119">
        <v>2.4270999999999998</v>
      </c>
      <c r="J119">
        <v>4.2409999999999997</v>
      </c>
      <c r="K119">
        <v>0.237367921027687</v>
      </c>
      <c r="L119" s="112">
        <f>VLOOKUP(A119,[3]RESUMEN!$A:$AE,31,1)</f>
        <v>-0.25007017292492917</v>
      </c>
      <c r="M119" s="113">
        <f>VLOOKUP(A119,[3]RESUMEN!$A:$AH,34,1)</f>
        <v>0.25741563854927335</v>
      </c>
      <c r="N119" s="113">
        <f>VLOOKUP(A119,[3]RESUMEN!$A:$AI,35,1)</f>
        <v>3.6727328121720915E-3</v>
      </c>
    </row>
    <row r="120" spans="1:14" x14ac:dyDescent="0.25">
      <c r="A120" s="102">
        <v>38471</v>
      </c>
      <c r="B120">
        <v>75</v>
      </c>
      <c r="C120">
        <v>188.25</v>
      </c>
      <c r="D120">
        <v>284.875</v>
      </c>
      <c r="E120">
        <v>402.125</v>
      </c>
      <c r="F120">
        <v>2.9699999999999998</v>
      </c>
      <c r="G120">
        <v>3.5920000000000001</v>
      </c>
      <c r="H120">
        <v>3.8805000000000001</v>
      </c>
      <c r="I120">
        <v>2.4270999999999998</v>
      </c>
      <c r="J120">
        <v>4.2110000000000003</v>
      </c>
      <c r="K120">
        <v>0.23943170066101882</v>
      </c>
      <c r="L120" s="112">
        <f>VLOOKUP(A120,[3]RESUMEN!$A:$AE,31,1)</f>
        <v>-0.25007017292492917</v>
      </c>
      <c r="M120" s="113">
        <f>VLOOKUP(A120,[3]RESUMEN!$A:$AH,34,1)</f>
        <v>0.25741563854927335</v>
      </c>
      <c r="N120" s="113">
        <f>VLOOKUP(A120,[3]RESUMEN!$A:$AI,35,1)</f>
        <v>3.6727328121720915E-3</v>
      </c>
    </row>
    <row r="121" spans="1:14" x14ac:dyDescent="0.25">
      <c r="A121" s="102">
        <v>38478</v>
      </c>
      <c r="B121">
        <v>65.667000000000002</v>
      </c>
      <c r="C121">
        <v>161.75</v>
      </c>
      <c r="D121">
        <v>250.875</v>
      </c>
      <c r="E121">
        <v>363.375</v>
      </c>
      <c r="F121">
        <v>2.98</v>
      </c>
      <c r="G121">
        <v>3.6564999999999999</v>
      </c>
      <c r="H121">
        <v>3.9515000000000002</v>
      </c>
      <c r="I121">
        <v>2.4270999999999998</v>
      </c>
      <c r="J121">
        <v>4.2614999999999998</v>
      </c>
      <c r="K121">
        <v>0.21889213101813398</v>
      </c>
      <c r="L121" s="112">
        <f>VLOOKUP(A121,[3]RESUMEN!$A:$AE,31,1)</f>
        <v>-0.25007017292492917</v>
      </c>
      <c r="M121" s="113">
        <f>VLOOKUP(A121,[3]RESUMEN!$A:$AH,34,1)</f>
        <v>0.25741563854927335</v>
      </c>
      <c r="N121" s="113">
        <f>VLOOKUP(A121,[3]RESUMEN!$A:$AI,35,1)</f>
        <v>3.6727328121720915E-3</v>
      </c>
    </row>
    <row r="122" spans="1:14" x14ac:dyDescent="0.25">
      <c r="A122" s="102">
        <v>38485</v>
      </c>
      <c r="B122">
        <v>65</v>
      </c>
      <c r="C122">
        <v>153.25</v>
      </c>
      <c r="D122">
        <v>244.5</v>
      </c>
      <c r="E122">
        <v>359.5</v>
      </c>
      <c r="F122">
        <v>3.01</v>
      </c>
      <c r="G122">
        <v>3.5935000000000001</v>
      </c>
      <c r="H122">
        <v>3.8410000000000002</v>
      </c>
      <c r="I122">
        <v>2.4270999999999998</v>
      </c>
      <c r="J122">
        <v>4.1420000000000003</v>
      </c>
      <c r="K122">
        <v>0.21696008083783747</v>
      </c>
      <c r="L122" s="112">
        <f>VLOOKUP(A122,[3]RESUMEN!$A:$AE,31,1)</f>
        <v>-0.25007017292492917</v>
      </c>
      <c r="M122" s="113">
        <f>VLOOKUP(A122,[3]RESUMEN!$A:$AH,34,1)</f>
        <v>0.25741563854927335</v>
      </c>
      <c r="N122" s="113">
        <f>VLOOKUP(A122,[3]RESUMEN!$A:$AI,35,1)</f>
        <v>3.6727328121720915E-3</v>
      </c>
    </row>
    <row r="123" spans="1:14" x14ac:dyDescent="0.25">
      <c r="A123" s="102">
        <v>38492</v>
      </c>
      <c r="B123">
        <v>65</v>
      </c>
      <c r="C123">
        <v>154.75</v>
      </c>
      <c r="D123">
        <v>243.667</v>
      </c>
      <c r="E123">
        <v>358.66699999999997</v>
      </c>
      <c r="F123">
        <v>3.01</v>
      </c>
      <c r="G123">
        <v>3.6659999999999999</v>
      </c>
      <c r="H123">
        <v>3.9125000000000001</v>
      </c>
      <c r="I123">
        <v>2.4270999999999998</v>
      </c>
      <c r="J123">
        <v>4.1870000000000003</v>
      </c>
      <c r="K123">
        <v>0.21696008083783747</v>
      </c>
      <c r="L123" s="112">
        <f>VLOOKUP(A123,[3]RESUMEN!$A:$AE,31,1)</f>
        <v>-0.25007017292492917</v>
      </c>
      <c r="M123" s="113">
        <f>VLOOKUP(A123,[3]RESUMEN!$A:$AH,34,1)</f>
        <v>0.25741563854927335</v>
      </c>
      <c r="N123" s="113">
        <f>VLOOKUP(A123,[3]RESUMEN!$A:$AI,35,1)</f>
        <v>3.6727328121720915E-3</v>
      </c>
    </row>
    <row r="124" spans="1:14" x14ac:dyDescent="0.25">
      <c r="A124" s="102">
        <v>38499</v>
      </c>
      <c r="B124">
        <v>60.832999999999998</v>
      </c>
      <c r="C124">
        <v>133.93199999999999</v>
      </c>
      <c r="D124">
        <v>207.19900000000001</v>
      </c>
      <c r="E124">
        <v>326.19900000000001</v>
      </c>
      <c r="F124">
        <v>3.01</v>
      </c>
      <c r="G124">
        <v>3.6680000000000001</v>
      </c>
      <c r="H124">
        <v>3.8624999999999998</v>
      </c>
      <c r="I124">
        <v>2.4270999999999998</v>
      </c>
      <c r="J124">
        <v>4.0910000000000002</v>
      </c>
      <c r="K124">
        <v>0.19895001154165615</v>
      </c>
      <c r="L124" s="112">
        <f>VLOOKUP(A124,[3]RESUMEN!$A:$AE,31,1)</f>
        <v>-0.25007017292492917</v>
      </c>
      <c r="M124" s="113">
        <f>VLOOKUP(A124,[3]RESUMEN!$A:$AH,34,1)</f>
        <v>0.25741563854927335</v>
      </c>
      <c r="N124" s="113">
        <f>VLOOKUP(A124,[3]RESUMEN!$A:$AI,35,1)</f>
        <v>3.6727328121720915E-3</v>
      </c>
    </row>
    <row r="125" spans="1:14" x14ac:dyDescent="0.25">
      <c r="A125" s="102">
        <v>38506</v>
      </c>
      <c r="B125">
        <v>53.75</v>
      </c>
      <c r="C125">
        <v>119.309</v>
      </c>
      <c r="D125">
        <v>185.732</v>
      </c>
      <c r="E125">
        <v>308.73200000000003</v>
      </c>
      <c r="F125">
        <v>2.99</v>
      </c>
      <c r="G125">
        <v>3.6</v>
      </c>
      <c r="H125">
        <v>3.7679999999999998</v>
      </c>
      <c r="I125">
        <v>2.4270999999999998</v>
      </c>
      <c r="J125">
        <v>4.0019999999999998</v>
      </c>
      <c r="K125">
        <v>0.18949101030437299</v>
      </c>
      <c r="L125" s="112">
        <f>VLOOKUP(A125,[3]RESUMEN!$A:$AE,31,1)</f>
        <v>-0.25007017292492917</v>
      </c>
      <c r="M125" s="113">
        <f>VLOOKUP(A125,[3]RESUMEN!$A:$AH,34,1)</f>
        <v>0.25741563854927335</v>
      </c>
      <c r="N125" s="113">
        <f>VLOOKUP(A125,[3]RESUMEN!$A:$AI,35,1)</f>
        <v>3.6727328121720915E-3</v>
      </c>
    </row>
    <row r="126" spans="1:14" x14ac:dyDescent="0.25">
      <c r="A126" s="102">
        <v>38513</v>
      </c>
      <c r="B126">
        <v>56.25</v>
      </c>
      <c r="C126">
        <v>108.57599999999999</v>
      </c>
      <c r="D126">
        <v>181.38399999999999</v>
      </c>
      <c r="E126">
        <v>303.38400000000001</v>
      </c>
      <c r="F126">
        <v>3.01</v>
      </c>
      <c r="G126">
        <v>3.7425000000000002</v>
      </c>
      <c r="H126">
        <v>3.92</v>
      </c>
      <c r="I126">
        <v>2.4270999999999998</v>
      </c>
      <c r="J126">
        <v>4.1050000000000004</v>
      </c>
      <c r="K126">
        <v>0.18657985149135481</v>
      </c>
      <c r="L126" s="112">
        <f>VLOOKUP(A126,[3]RESUMEN!$A:$AE,31,1)</f>
        <v>-0.25007017292492917</v>
      </c>
      <c r="M126" s="113">
        <f>VLOOKUP(A126,[3]RESUMEN!$A:$AH,34,1)</f>
        <v>0.25741563854927335</v>
      </c>
      <c r="N126" s="113">
        <f>VLOOKUP(A126,[3]RESUMEN!$A:$AI,35,1)</f>
        <v>3.6727328121720915E-3</v>
      </c>
    </row>
    <row r="127" spans="1:14" x14ac:dyDescent="0.25">
      <c r="A127" s="102">
        <v>38520</v>
      </c>
      <c r="B127">
        <v>53.75</v>
      </c>
      <c r="C127">
        <v>114.16</v>
      </c>
      <c r="D127">
        <v>181.66</v>
      </c>
      <c r="E127">
        <v>299.83</v>
      </c>
      <c r="F127">
        <v>2.99</v>
      </c>
      <c r="G127">
        <v>3.7519999999999998</v>
      </c>
      <c r="H127">
        <v>3.9213</v>
      </c>
      <c r="I127">
        <v>2.4270999999999998</v>
      </c>
      <c r="J127">
        <v>4.13</v>
      </c>
      <c r="K127">
        <v>0.18489834213140466</v>
      </c>
      <c r="L127" s="112">
        <f>VLOOKUP(A127,[3]RESUMEN!$A:$AE,31,1)</f>
        <v>-0.25007017292492917</v>
      </c>
      <c r="M127" s="113">
        <f>VLOOKUP(A127,[3]RESUMEN!$A:$AH,34,1)</f>
        <v>0.25741563854927335</v>
      </c>
      <c r="N127" s="113">
        <f>VLOOKUP(A127,[3]RESUMEN!$A:$AI,35,1)</f>
        <v>3.6727328121720915E-3</v>
      </c>
    </row>
    <row r="128" spans="1:14" x14ac:dyDescent="0.25">
      <c r="A128" s="102">
        <v>38527</v>
      </c>
      <c r="B128">
        <v>52.832999999999998</v>
      </c>
      <c r="C128">
        <v>114.848</v>
      </c>
      <c r="D128">
        <v>180.27799999999999</v>
      </c>
      <c r="E128">
        <v>298.57799999999997</v>
      </c>
      <c r="F128">
        <v>3.07</v>
      </c>
      <c r="G128">
        <v>3.6865000000000001</v>
      </c>
      <c r="H128">
        <v>3.7800000000000002</v>
      </c>
      <c r="I128">
        <v>2.4270999999999998</v>
      </c>
      <c r="J128">
        <v>3.9529999999999998</v>
      </c>
      <c r="K128">
        <v>0.18323022382420817</v>
      </c>
      <c r="L128" s="112">
        <f>VLOOKUP(A128,[3]RESUMEN!$A:$AE,31,1)</f>
        <v>-0.25007017292492917</v>
      </c>
      <c r="M128" s="113">
        <f>VLOOKUP(A128,[3]RESUMEN!$A:$AH,34,1)</f>
        <v>0.25741563854927335</v>
      </c>
      <c r="N128" s="113">
        <f>VLOOKUP(A128,[3]RESUMEN!$A:$AI,35,1)</f>
        <v>3.6727328121720915E-3</v>
      </c>
    </row>
    <row r="129" spans="1:14" x14ac:dyDescent="0.25">
      <c r="A129" s="102">
        <v>38534</v>
      </c>
      <c r="B129">
        <v>61.625</v>
      </c>
      <c r="C129">
        <v>110.971</v>
      </c>
      <c r="D129">
        <v>176.548</v>
      </c>
      <c r="E129">
        <v>292.923</v>
      </c>
      <c r="F129">
        <v>3.36</v>
      </c>
      <c r="G129">
        <v>3.859</v>
      </c>
      <c r="H129">
        <v>3.9704999999999999</v>
      </c>
      <c r="I129">
        <v>2.4270999999999998</v>
      </c>
      <c r="J129">
        <v>4.1234999999999999</v>
      </c>
      <c r="K129">
        <v>0.18056364264908142</v>
      </c>
      <c r="L129" s="112">
        <f>VLOOKUP(A129,[3]RESUMEN!$A:$AE,31,1)</f>
        <v>-5.5913400716699521E-2</v>
      </c>
      <c r="M129" s="113">
        <f>VLOOKUP(A129,[3]RESUMEN!$A:$AH,34,1)</f>
        <v>0.60935854957995994</v>
      </c>
      <c r="N129" s="113">
        <f>VLOOKUP(A129,[3]RESUMEN!$A:$AI,35,1)</f>
        <v>0.27672257443163023</v>
      </c>
    </row>
    <row r="130" spans="1:14" x14ac:dyDescent="0.25">
      <c r="A130" s="102">
        <v>38541</v>
      </c>
      <c r="B130">
        <v>54.625</v>
      </c>
      <c r="C130">
        <v>112.586</v>
      </c>
      <c r="D130">
        <v>182.667</v>
      </c>
      <c r="E130">
        <v>299.62599999999998</v>
      </c>
      <c r="F130">
        <v>3.22</v>
      </c>
      <c r="G130">
        <v>3.8824999999999998</v>
      </c>
      <c r="H130">
        <v>4.0063000000000004</v>
      </c>
      <c r="I130">
        <v>2.4270999999999998</v>
      </c>
      <c r="J130">
        <v>4.1784999999999997</v>
      </c>
      <c r="K130">
        <v>0.18436463032301831</v>
      </c>
      <c r="L130" s="112">
        <f>VLOOKUP(A130,[3]RESUMEN!$A:$AE,31,1)</f>
        <v>-5.5913400716699521E-2</v>
      </c>
      <c r="M130" s="113">
        <f>VLOOKUP(A130,[3]RESUMEN!$A:$AH,34,1)</f>
        <v>0.60935854957995994</v>
      </c>
      <c r="N130" s="113">
        <f>VLOOKUP(A130,[3]RESUMEN!$A:$AI,35,1)</f>
        <v>0.27672257443163023</v>
      </c>
    </row>
    <row r="131" spans="1:14" x14ac:dyDescent="0.25">
      <c r="A131" s="102">
        <v>38548</v>
      </c>
      <c r="B131">
        <v>49.5</v>
      </c>
      <c r="C131">
        <v>105.678</v>
      </c>
      <c r="D131">
        <v>168.571</v>
      </c>
      <c r="E131">
        <v>284.404</v>
      </c>
      <c r="F131">
        <v>3.32</v>
      </c>
      <c r="G131">
        <v>3.956</v>
      </c>
      <c r="H131">
        <v>4.0904999999999996</v>
      </c>
      <c r="I131">
        <v>2.4270999999999998</v>
      </c>
      <c r="J131">
        <v>4.2729999999999997</v>
      </c>
      <c r="K131">
        <v>0.17579751545940248</v>
      </c>
      <c r="L131" s="112">
        <f>VLOOKUP(A131,[3]RESUMEN!$A:$AE,31,1)</f>
        <v>-5.5913400716699521E-2</v>
      </c>
      <c r="M131" s="113">
        <f>VLOOKUP(A131,[3]RESUMEN!$A:$AH,34,1)</f>
        <v>0.60935854957995994</v>
      </c>
      <c r="N131" s="113">
        <f>VLOOKUP(A131,[3]RESUMEN!$A:$AI,35,1)</f>
        <v>0.27672257443163023</v>
      </c>
    </row>
    <row r="132" spans="1:14" x14ac:dyDescent="0.25">
      <c r="A132" s="102">
        <v>38555</v>
      </c>
      <c r="B132">
        <v>50.75</v>
      </c>
      <c r="C132">
        <v>108.17100000000001</v>
      </c>
      <c r="D132">
        <v>174.33799999999999</v>
      </c>
      <c r="E132">
        <v>291.75200000000001</v>
      </c>
      <c r="F132">
        <v>3.25</v>
      </c>
      <c r="G132">
        <v>4</v>
      </c>
      <c r="H132">
        <v>4.1535000000000002</v>
      </c>
      <c r="I132">
        <v>2.4270999999999998</v>
      </c>
      <c r="J132">
        <v>4.335</v>
      </c>
      <c r="K132">
        <v>0.17997499387209637</v>
      </c>
      <c r="L132" s="112">
        <f>VLOOKUP(A132,[3]RESUMEN!$A:$AE,31,1)</f>
        <v>-5.5913400716699521E-2</v>
      </c>
      <c r="M132" s="113">
        <f>VLOOKUP(A132,[3]RESUMEN!$A:$AH,34,1)</f>
        <v>0.60935854957995994</v>
      </c>
      <c r="N132" s="113">
        <f>VLOOKUP(A132,[3]RESUMEN!$A:$AI,35,1)</f>
        <v>0.27672257443163023</v>
      </c>
    </row>
    <row r="133" spans="1:14" x14ac:dyDescent="0.25">
      <c r="A133" s="102">
        <v>38562</v>
      </c>
      <c r="B133">
        <v>46</v>
      </c>
      <c r="C133">
        <v>96.945999999999998</v>
      </c>
      <c r="D133">
        <v>159.333</v>
      </c>
      <c r="E133">
        <v>272.279</v>
      </c>
      <c r="F133">
        <v>3.31</v>
      </c>
      <c r="G133">
        <v>4.1064999999999996</v>
      </c>
      <c r="H133">
        <v>4.2613000000000003</v>
      </c>
      <c r="I133">
        <v>2.4270999999999998</v>
      </c>
      <c r="J133">
        <v>4.4344999999999999</v>
      </c>
      <c r="K133">
        <v>0.16891508402654642</v>
      </c>
      <c r="L133" s="112">
        <f>VLOOKUP(A133,[3]RESUMEN!$A:$AE,31,1)</f>
        <v>-5.5913400716699521E-2</v>
      </c>
      <c r="M133" s="113">
        <f>VLOOKUP(A133,[3]RESUMEN!$A:$AH,34,1)</f>
        <v>0.60935854957995994</v>
      </c>
      <c r="N133" s="113">
        <f>VLOOKUP(A133,[3]RESUMEN!$A:$AI,35,1)</f>
        <v>0.27672257443163023</v>
      </c>
    </row>
    <row r="134" spans="1:14" x14ac:dyDescent="0.25">
      <c r="A134" s="102">
        <v>38569</v>
      </c>
      <c r="B134">
        <v>45.332999999999998</v>
      </c>
      <c r="C134">
        <v>94.311000000000007</v>
      </c>
      <c r="D134">
        <v>152.983</v>
      </c>
      <c r="E134">
        <v>259.733</v>
      </c>
      <c r="F134">
        <v>3.49</v>
      </c>
      <c r="G134">
        <v>4.1779999999999999</v>
      </c>
      <c r="H134">
        <v>4.3689999999999998</v>
      </c>
      <c r="I134">
        <v>2.4270999999999998</v>
      </c>
      <c r="J134">
        <v>4.5049999999999999</v>
      </c>
      <c r="K134">
        <v>0.16166228815264916</v>
      </c>
      <c r="L134" s="112">
        <f>VLOOKUP(A134,[3]RESUMEN!$A:$AE,31,1)</f>
        <v>-5.5913400716699521E-2</v>
      </c>
      <c r="M134" s="113">
        <f>VLOOKUP(A134,[3]RESUMEN!$A:$AH,34,1)</f>
        <v>0.60935854957995994</v>
      </c>
      <c r="N134" s="113">
        <f>VLOOKUP(A134,[3]RESUMEN!$A:$AI,35,1)</f>
        <v>0.27672257443163023</v>
      </c>
    </row>
    <row r="135" spans="1:14" x14ac:dyDescent="0.25">
      <c r="A135" s="102">
        <v>38576</v>
      </c>
      <c r="B135">
        <v>46.125</v>
      </c>
      <c r="C135">
        <v>99.561999999999998</v>
      </c>
      <c r="D135">
        <v>160.09299999999999</v>
      </c>
      <c r="E135">
        <v>268.84300000000002</v>
      </c>
      <c r="F135">
        <v>3.55</v>
      </c>
      <c r="G135">
        <v>4.1615000000000002</v>
      </c>
      <c r="H135">
        <v>4.2939999999999996</v>
      </c>
      <c r="I135">
        <v>2.4270999999999998</v>
      </c>
      <c r="J135">
        <v>4.3760000000000003</v>
      </c>
      <c r="K135">
        <v>0.16688885846601365</v>
      </c>
      <c r="L135" s="112">
        <f>VLOOKUP(A135,[3]RESUMEN!$A:$AE,31,1)</f>
        <v>-5.5913400716699521E-2</v>
      </c>
      <c r="M135" s="113">
        <f>VLOOKUP(A135,[3]RESUMEN!$A:$AH,34,1)</f>
        <v>0.60935854957995994</v>
      </c>
      <c r="N135" s="113">
        <f>VLOOKUP(A135,[3]RESUMEN!$A:$AI,35,1)</f>
        <v>0.27672257443163023</v>
      </c>
    </row>
    <row r="136" spans="1:14" x14ac:dyDescent="0.25">
      <c r="A136" s="102">
        <v>38583</v>
      </c>
      <c r="B136">
        <v>51.667000000000002</v>
      </c>
      <c r="C136">
        <v>91.66</v>
      </c>
      <c r="D136">
        <v>153.22800000000001</v>
      </c>
      <c r="E136">
        <v>259.52800000000002</v>
      </c>
      <c r="F136">
        <v>3.54</v>
      </c>
      <c r="G136">
        <v>4.1710000000000003</v>
      </c>
      <c r="H136">
        <v>4.2803000000000004</v>
      </c>
      <c r="I136">
        <v>2.4270999999999998</v>
      </c>
      <c r="J136">
        <v>4.3540000000000001</v>
      </c>
      <c r="K136">
        <v>0.16154938510905092</v>
      </c>
      <c r="L136" s="112">
        <f>VLOOKUP(A136,[3]RESUMEN!$A:$AE,31,1)</f>
        <v>-5.5913400716699521E-2</v>
      </c>
      <c r="M136" s="113">
        <f>VLOOKUP(A136,[3]RESUMEN!$A:$AH,34,1)</f>
        <v>0.60935854957995994</v>
      </c>
      <c r="N136" s="113">
        <f>VLOOKUP(A136,[3]RESUMEN!$A:$AI,35,1)</f>
        <v>0.27672257443163023</v>
      </c>
    </row>
    <row r="137" spans="1:14" x14ac:dyDescent="0.25">
      <c r="A137" s="102">
        <v>38590</v>
      </c>
      <c r="B137">
        <v>47.25</v>
      </c>
      <c r="C137">
        <v>95.287999999999997</v>
      </c>
      <c r="D137">
        <v>154.78800000000001</v>
      </c>
      <c r="E137">
        <v>259.70699999999999</v>
      </c>
      <c r="F137">
        <v>3.54</v>
      </c>
      <c r="G137">
        <v>4.2300000000000004</v>
      </c>
      <c r="H137">
        <v>4.3369999999999997</v>
      </c>
      <c r="I137">
        <v>2.4270999999999998</v>
      </c>
      <c r="J137">
        <v>4.3870000000000005</v>
      </c>
      <c r="K137">
        <v>0.16154938510905092</v>
      </c>
      <c r="L137" s="112">
        <f>VLOOKUP(A137,[3]RESUMEN!$A:$AE,31,1)</f>
        <v>-5.5913400716699521E-2</v>
      </c>
      <c r="M137" s="113">
        <f>VLOOKUP(A137,[3]RESUMEN!$A:$AH,34,1)</f>
        <v>0.60935854957995994</v>
      </c>
      <c r="N137" s="113">
        <f>VLOOKUP(A137,[3]RESUMEN!$A:$AI,35,1)</f>
        <v>0.27672257443163023</v>
      </c>
    </row>
    <row r="138" spans="1:14" x14ac:dyDescent="0.25">
      <c r="A138" s="102">
        <v>38597</v>
      </c>
      <c r="B138">
        <v>47.375</v>
      </c>
      <c r="C138">
        <v>92.144999999999996</v>
      </c>
      <c r="D138">
        <v>147.893</v>
      </c>
      <c r="E138">
        <v>253.887</v>
      </c>
      <c r="F138">
        <v>3.49</v>
      </c>
      <c r="G138">
        <v>3.9210000000000003</v>
      </c>
      <c r="H138">
        <v>4.0149999999999997</v>
      </c>
      <c r="I138">
        <v>2.4270999999999998</v>
      </c>
      <c r="J138">
        <v>4.1159999999999997</v>
      </c>
      <c r="K138">
        <v>0.1582988940635025</v>
      </c>
      <c r="L138" s="112">
        <f>VLOOKUP(A138,[3]RESUMEN!$A:$AE,31,1)</f>
        <v>-5.5913400716699521E-2</v>
      </c>
      <c r="M138" s="113">
        <f>VLOOKUP(A138,[3]RESUMEN!$A:$AH,34,1)</f>
        <v>0.60935854957995994</v>
      </c>
      <c r="N138" s="113">
        <f>VLOOKUP(A138,[3]RESUMEN!$A:$AI,35,1)</f>
        <v>0.27672257443163023</v>
      </c>
    </row>
    <row r="139" spans="1:14" x14ac:dyDescent="0.25">
      <c r="A139" s="102">
        <v>38604</v>
      </c>
      <c r="B139">
        <v>43.375</v>
      </c>
      <c r="C139">
        <v>89.064999999999998</v>
      </c>
      <c r="D139">
        <v>137.4</v>
      </c>
      <c r="E139">
        <v>236.57</v>
      </c>
      <c r="F139">
        <v>3.49</v>
      </c>
      <c r="G139">
        <v>4.0540000000000003</v>
      </c>
      <c r="H139">
        <v>4.1459999999999999</v>
      </c>
      <c r="I139">
        <v>2.4270999999999998</v>
      </c>
      <c r="J139">
        <v>4.2190000000000003</v>
      </c>
      <c r="K139">
        <v>0.14816455472812329</v>
      </c>
      <c r="L139" s="112">
        <f>VLOOKUP(A139,[3]RESUMEN!$A:$AE,31,1)</f>
        <v>-5.5913400716699521E-2</v>
      </c>
      <c r="M139" s="113">
        <f>VLOOKUP(A139,[3]RESUMEN!$A:$AH,34,1)</f>
        <v>0.60935854957995994</v>
      </c>
      <c r="N139" s="113">
        <f>VLOOKUP(A139,[3]RESUMEN!$A:$AI,35,1)</f>
        <v>0.27672257443163023</v>
      </c>
    </row>
    <row r="140" spans="1:14" x14ac:dyDescent="0.25">
      <c r="A140" s="102">
        <v>38611</v>
      </c>
      <c r="B140">
        <v>43.167000000000002</v>
      </c>
      <c r="C140">
        <v>79.766999999999996</v>
      </c>
      <c r="D140">
        <v>126.7</v>
      </c>
      <c r="E140">
        <v>225.5</v>
      </c>
      <c r="F140">
        <v>3.62</v>
      </c>
      <c r="G140">
        <v>4.1665000000000001</v>
      </c>
      <c r="H140">
        <v>4.2664999999999997</v>
      </c>
      <c r="I140">
        <v>2.4270999999999998</v>
      </c>
      <c r="J140">
        <v>4.3639999999999999</v>
      </c>
      <c r="K140">
        <v>0.1417524896647302</v>
      </c>
      <c r="L140" s="112">
        <f>VLOOKUP(A140,[3]RESUMEN!$A:$AE,31,1)</f>
        <v>-5.5913400716699521E-2</v>
      </c>
      <c r="M140" s="113">
        <f>VLOOKUP(A140,[3]RESUMEN!$A:$AH,34,1)</f>
        <v>0.60935854957995994</v>
      </c>
      <c r="N140" s="113">
        <f>VLOOKUP(A140,[3]RESUMEN!$A:$AI,35,1)</f>
        <v>0.27672257443163023</v>
      </c>
    </row>
    <row r="141" spans="1:14" x14ac:dyDescent="0.25">
      <c r="A141" s="102">
        <v>38618</v>
      </c>
      <c r="B141">
        <v>40.625</v>
      </c>
      <c r="C141">
        <v>74.667000000000002</v>
      </c>
      <c r="D141">
        <v>114.9</v>
      </c>
      <c r="E141">
        <v>206.8</v>
      </c>
      <c r="F141">
        <v>3.76</v>
      </c>
      <c r="G141">
        <v>4.2379999999999995</v>
      </c>
      <c r="H141">
        <v>4.3102999999999998</v>
      </c>
      <c r="I141">
        <v>2.4270999999999998</v>
      </c>
      <c r="J141">
        <v>4.3920000000000003</v>
      </c>
      <c r="K141">
        <v>0.13064495280888522</v>
      </c>
      <c r="L141" s="112">
        <f>VLOOKUP(A141,[3]RESUMEN!$A:$AE,31,1)</f>
        <v>-5.5913400716699521E-2</v>
      </c>
      <c r="M141" s="113">
        <f>VLOOKUP(A141,[3]RESUMEN!$A:$AH,34,1)</f>
        <v>0.60935854957995994</v>
      </c>
      <c r="N141" s="113">
        <f>VLOOKUP(A141,[3]RESUMEN!$A:$AI,35,1)</f>
        <v>0.27672257443163023</v>
      </c>
    </row>
    <row r="142" spans="1:14" x14ac:dyDescent="0.25">
      <c r="A142" s="102">
        <v>38625</v>
      </c>
      <c r="B142">
        <v>40.799999999999997</v>
      </c>
      <c r="C142">
        <v>70.218000000000004</v>
      </c>
      <c r="D142">
        <v>106.312</v>
      </c>
      <c r="E142">
        <v>189.47900000000001</v>
      </c>
      <c r="F142">
        <v>3.93</v>
      </c>
      <c r="G142">
        <v>4.4020000000000001</v>
      </c>
      <c r="H142">
        <v>4.4790000000000001</v>
      </c>
      <c r="I142">
        <v>2.4270999999999998</v>
      </c>
      <c r="J142">
        <v>4.5209999999999999</v>
      </c>
      <c r="K142">
        <v>0.12024039582418278</v>
      </c>
      <c r="L142" s="112">
        <f>VLOOKUP(A142,[3]RESUMEN!$A:$AE,31,1)</f>
        <v>-0.10158579984122701</v>
      </c>
      <c r="M142" s="113">
        <f>VLOOKUP(A142,[3]RESUMEN!$A:$AH,34,1)</f>
        <v>0.7348301253817533</v>
      </c>
      <c r="N142" s="113">
        <f>VLOOKUP(A142,[3]RESUMEN!$A:$AI,35,1)</f>
        <v>0.31662216277026312</v>
      </c>
    </row>
    <row r="143" spans="1:14" x14ac:dyDescent="0.25">
      <c r="A143" s="102">
        <v>38632</v>
      </c>
      <c r="B143">
        <v>51.9</v>
      </c>
      <c r="C143">
        <v>94.436999999999998</v>
      </c>
      <c r="D143">
        <v>142.833</v>
      </c>
      <c r="E143">
        <v>235.25</v>
      </c>
      <c r="F143">
        <v>3.73</v>
      </c>
      <c r="G143">
        <v>4.423</v>
      </c>
      <c r="H143">
        <v>4.5</v>
      </c>
      <c r="I143">
        <v>2.4270999999999998</v>
      </c>
      <c r="J143">
        <v>4.5629999999999997</v>
      </c>
      <c r="K143">
        <v>0.14718847856298034</v>
      </c>
      <c r="L143" s="112">
        <f>VLOOKUP(A143,[3]RESUMEN!$A:$AE,31,1)</f>
        <v>-0.10158579984122701</v>
      </c>
      <c r="M143" s="113">
        <f>VLOOKUP(A143,[3]RESUMEN!$A:$AH,34,1)</f>
        <v>0.7348301253817533</v>
      </c>
      <c r="N143" s="113">
        <f>VLOOKUP(A143,[3]RESUMEN!$A:$AI,35,1)</f>
        <v>0.31662216277026312</v>
      </c>
    </row>
    <row r="144" spans="1:14" x14ac:dyDescent="0.25">
      <c r="A144" s="102">
        <v>38639</v>
      </c>
      <c r="B144">
        <v>65.3</v>
      </c>
      <c r="C144">
        <v>129.40199999999999</v>
      </c>
      <c r="D144">
        <v>175.81899999999999</v>
      </c>
      <c r="E144">
        <v>282.81900000000002</v>
      </c>
      <c r="F144">
        <v>3.77</v>
      </c>
      <c r="G144">
        <v>4.4915000000000003</v>
      </c>
      <c r="H144">
        <v>4.5875000000000004</v>
      </c>
      <c r="I144">
        <v>2.4270999999999998</v>
      </c>
      <c r="J144">
        <v>4.6669999999999998</v>
      </c>
      <c r="K144">
        <v>0.17446853527900164</v>
      </c>
      <c r="L144" s="112">
        <f>VLOOKUP(A144,[3]RESUMEN!$A:$AE,31,1)</f>
        <v>-0.10158579984122701</v>
      </c>
      <c r="M144" s="113">
        <f>VLOOKUP(A144,[3]RESUMEN!$A:$AH,34,1)</f>
        <v>0.7348301253817533</v>
      </c>
      <c r="N144" s="113">
        <f>VLOOKUP(A144,[3]RESUMEN!$A:$AI,35,1)</f>
        <v>0.31662216277026312</v>
      </c>
    </row>
    <row r="145" spans="1:14" x14ac:dyDescent="0.25">
      <c r="A145" s="102">
        <v>38646</v>
      </c>
      <c r="B145">
        <v>59.832999999999998</v>
      </c>
      <c r="C145">
        <v>113.557</v>
      </c>
      <c r="D145">
        <v>161.042</v>
      </c>
      <c r="E145">
        <v>258.16699999999997</v>
      </c>
      <c r="F145">
        <v>3.76</v>
      </c>
      <c r="G145">
        <v>4.4770000000000003</v>
      </c>
      <c r="H145">
        <v>4.5365000000000002</v>
      </c>
      <c r="I145">
        <v>2.4270999999999998</v>
      </c>
      <c r="J145">
        <v>4.585</v>
      </c>
      <c r="K145">
        <v>0.16041454904072439</v>
      </c>
      <c r="L145" s="112">
        <f>VLOOKUP(A145,[3]RESUMEN!$A:$AE,31,1)</f>
        <v>-0.10158579984122701</v>
      </c>
      <c r="M145" s="113">
        <f>VLOOKUP(A145,[3]RESUMEN!$A:$AH,34,1)</f>
        <v>0.7348301253817533</v>
      </c>
      <c r="N145" s="113">
        <f>VLOOKUP(A145,[3]RESUMEN!$A:$AI,35,1)</f>
        <v>0.31662216277026312</v>
      </c>
    </row>
    <row r="146" spans="1:14" x14ac:dyDescent="0.25">
      <c r="A146" s="102">
        <v>38653</v>
      </c>
      <c r="B146">
        <v>50.5</v>
      </c>
      <c r="C146">
        <v>99.581999999999994</v>
      </c>
      <c r="D146">
        <v>141.18600000000001</v>
      </c>
      <c r="E146">
        <v>233.81100000000001</v>
      </c>
      <c r="F146">
        <v>3.9</v>
      </c>
      <c r="G146">
        <v>4.6219999999999999</v>
      </c>
      <c r="H146">
        <v>4.7074999999999996</v>
      </c>
      <c r="I146">
        <v>2.4270999999999998</v>
      </c>
      <c r="J146">
        <v>4.7919999999999998</v>
      </c>
      <c r="K146">
        <v>0.14635857100036975</v>
      </c>
      <c r="L146" s="112">
        <f>VLOOKUP(A146,[3]RESUMEN!$A:$AE,31,1)</f>
        <v>-0.10158579984122701</v>
      </c>
      <c r="M146" s="113">
        <f>VLOOKUP(A146,[3]RESUMEN!$A:$AH,34,1)</f>
        <v>0.7348301253817533</v>
      </c>
      <c r="N146" s="113">
        <f>VLOOKUP(A146,[3]RESUMEN!$A:$AI,35,1)</f>
        <v>0.31662216277026312</v>
      </c>
    </row>
    <row r="147" spans="1:14" x14ac:dyDescent="0.25">
      <c r="A147" s="102">
        <v>38660</v>
      </c>
      <c r="B147">
        <v>48.5</v>
      </c>
      <c r="C147">
        <v>84.105999999999995</v>
      </c>
      <c r="D147">
        <v>124.764</v>
      </c>
      <c r="E147">
        <v>216.06399999999999</v>
      </c>
      <c r="F147">
        <v>4</v>
      </c>
      <c r="G147">
        <v>4.7119999999999997</v>
      </c>
      <c r="H147">
        <v>4.8187999999999995</v>
      </c>
      <c r="I147">
        <v>2.4270999999999998</v>
      </c>
      <c r="J147">
        <v>4.9649999999999999</v>
      </c>
      <c r="K147">
        <v>0.13603827996617068</v>
      </c>
      <c r="L147" s="112">
        <f>VLOOKUP(A147,[3]RESUMEN!$A:$AE,31,1)</f>
        <v>-0.10158579984122701</v>
      </c>
      <c r="M147" s="113">
        <f>VLOOKUP(A147,[3]RESUMEN!$A:$AH,34,1)</f>
        <v>0.7348301253817533</v>
      </c>
      <c r="N147" s="113">
        <f>VLOOKUP(A147,[3]RESUMEN!$A:$AI,35,1)</f>
        <v>0.31662216277026312</v>
      </c>
    </row>
    <row r="148" spans="1:14" x14ac:dyDescent="0.25">
      <c r="A148" s="102">
        <v>38667</v>
      </c>
      <c r="B148">
        <v>44.125</v>
      </c>
      <c r="C148">
        <v>79.25</v>
      </c>
      <c r="D148">
        <v>114.982</v>
      </c>
      <c r="E148">
        <v>201.791</v>
      </c>
      <c r="F148">
        <v>3.98</v>
      </c>
      <c r="G148">
        <v>4.6899999999999995</v>
      </c>
      <c r="H148">
        <v>4.7850000000000001</v>
      </c>
      <c r="I148">
        <v>2.4270999999999998</v>
      </c>
      <c r="J148">
        <v>4.8754999999999997</v>
      </c>
      <c r="K148">
        <v>0.12758202726095602</v>
      </c>
      <c r="L148" s="112">
        <f>VLOOKUP(A148,[3]RESUMEN!$A:$AE,31,1)</f>
        <v>-0.10158579984122701</v>
      </c>
      <c r="M148" s="113">
        <f>VLOOKUP(A148,[3]RESUMEN!$A:$AH,34,1)</f>
        <v>0.7348301253817533</v>
      </c>
      <c r="N148" s="113">
        <f>VLOOKUP(A148,[3]RESUMEN!$A:$AI,35,1)</f>
        <v>0.31662216277026312</v>
      </c>
    </row>
    <row r="149" spans="1:14" x14ac:dyDescent="0.25">
      <c r="A149" s="102">
        <v>38674</v>
      </c>
      <c r="B149">
        <v>39.375</v>
      </c>
      <c r="C149">
        <v>69.263000000000005</v>
      </c>
      <c r="D149">
        <v>101.395</v>
      </c>
      <c r="E149">
        <v>186.27</v>
      </c>
      <c r="F149">
        <v>4</v>
      </c>
      <c r="G149">
        <v>4.7</v>
      </c>
      <c r="H149">
        <v>4.7225000000000001</v>
      </c>
      <c r="I149">
        <v>2.4270999999999998</v>
      </c>
      <c r="J149">
        <v>4.8</v>
      </c>
      <c r="K149">
        <v>0.11833405615554848</v>
      </c>
      <c r="L149" s="112">
        <f>VLOOKUP(A149,[3]RESUMEN!$A:$AE,31,1)</f>
        <v>-0.10158579984122701</v>
      </c>
      <c r="M149" s="113">
        <f>VLOOKUP(A149,[3]RESUMEN!$A:$AH,34,1)</f>
        <v>0.7348301253817533</v>
      </c>
      <c r="N149" s="113">
        <f>VLOOKUP(A149,[3]RESUMEN!$A:$AI,35,1)</f>
        <v>0.31662216277026312</v>
      </c>
    </row>
    <row r="150" spans="1:14" x14ac:dyDescent="0.25">
      <c r="A150" s="102">
        <v>38681</v>
      </c>
      <c r="B150">
        <v>39.625</v>
      </c>
      <c r="C150">
        <v>65</v>
      </c>
      <c r="D150">
        <v>98.131</v>
      </c>
      <c r="E150">
        <v>178.125</v>
      </c>
      <c r="F150">
        <v>4.03</v>
      </c>
      <c r="G150">
        <v>4.5999999999999996</v>
      </c>
      <c r="H150">
        <v>4.6425000000000001</v>
      </c>
      <c r="I150">
        <v>2.4270999999999998</v>
      </c>
      <c r="J150">
        <v>4.7089999999999996</v>
      </c>
      <c r="K150">
        <v>0.11342388716359797</v>
      </c>
      <c r="L150" s="112">
        <f>VLOOKUP(A150,[3]RESUMEN!$A:$AE,31,1)</f>
        <v>-0.10158579984122701</v>
      </c>
      <c r="M150" s="113">
        <f>VLOOKUP(A150,[3]RESUMEN!$A:$AH,34,1)</f>
        <v>0.7348301253817533</v>
      </c>
      <c r="N150" s="113">
        <f>VLOOKUP(A150,[3]RESUMEN!$A:$AI,35,1)</f>
        <v>0.31662216277026312</v>
      </c>
    </row>
    <row r="151" spans="1:14" x14ac:dyDescent="0.25">
      <c r="A151" s="102">
        <v>38688</v>
      </c>
      <c r="B151">
        <v>34.5</v>
      </c>
      <c r="C151">
        <v>60.795999999999999</v>
      </c>
      <c r="D151">
        <v>93.346999999999994</v>
      </c>
      <c r="E151">
        <v>170.54900000000001</v>
      </c>
      <c r="F151">
        <v>4</v>
      </c>
      <c r="G151">
        <v>4.7379999999999995</v>
      </c>
      <c r="H151">
        <v>4.7759999999999998</v>
      </c>
      <c r="I151">
        <v>2.4270999999999998</v>
      </c>
      <c r="J151">
        <v>4.851</v>
      </c>
      <c r="K151">
        <v>0.10884441344316431</v>
      </c>
      <c r="L151" s="112">
        <f>VLOOKUP(A151,[3]RESUMEN!$A:$AE,31,1)</f>
        <v>-0.10158579984122701</v>
      </c>
      <c r="M151" s="113">
        <f>VLOOKUP(A151,[3]RESUMEN!$A:$AH,34,1)</f>
        <v>0.7348301253817533</v>
      </c>
      <c r="N151" s="113">
        <f>VLOOKUP(A151,[3]RESUMEN!$A:$AI,35,1)</f>
        <v>0.31662216277026312</v>
      </c>
    </row>
    <row r="152" spans="1:14" x14ac:dyDescent="0.25">
      <c r="A152" s="102">
        <v>38695</v>
      </c>
      <c r="B152">
        <v>34.5</v>
      </c>
      <c r="C152">
        <v>61.819000000000003</v>
      </c>
      <c r="D152">
        <v>95.454999999999998</v>
      </c>
      <c r="E152">
        <v>173.27799999999999</v>
      </c>
      <c r="F152">
        <v>4.16</v>
      </c>
      <c r="G152">
        <v>4.7379999999999995</v>
      </c>
      <c r="H152">
        <v>4.7714999999999996</v>
      </c>
      <c r="I152">
        <v>2.4270999999999998</v>
      </c>
      <c r="J152">
        <v>4.8499999999999996</v>
      </c>
      <c r="K152">
        <v>0.11050432496070095</v>
      </c>
      <c r="L152" s="112">
        <f>VLOOKUP(A152,[3]RESUMEN!$A:$AE,31,1)</f>
        <v>-0.10158579984122701</v>
      </c>
      <c r="M152" s="113">
        <f>VLOOKUP(A152,[3]RESUMEN!$A:$AH,34,1)</f>
        <v>0.7348301253817533</v>
      </c>
      <c r="N152" s="113">
        <f>VLOOKUP(A152,[3]RESUMEN!$A:$AI,35,1)</f>
        <v>0.31662216277026312</v>
      </c>
    </row>
    <row r="153" spans="1:14" x14ac:dyDescent="0.25">
      <c r="A153" s="102">
        <v>38702</v>
      </c>
      <c r="B153">
        <v>35.625</v>
      </c>
      <c r="C153">
        <v>62.987000000000002</v>
      </c>
      <c r="D153">
        <v>94.078999999999994</v>
      </c>
      <c r="E153">
        <v>171.47900000000001</v>
      </c>
      <c r="F153">
        <v>4.25</v>
      </c>
      <c r="G153">
        <v>4.7045000000000003</v>
      </c>
      <c r="H153">
        <v>4.7035</v>
      </c>
      <c r="I153">
        <v>2.4270999999999998</v>
      </c>
      <c r="J153">
        <v>4.7524999999999995</v>
      </c>
      <c r="K153">
        <v>0.10946210978351056</v>
      </c>
      <c r="L153" s="112">
        <f>VLOOKUP(A153,[3]RESUMEN!$A:$AE,31,1)</f>
        <v>-0.10158579984122701</v>
      </c>
      <c r="M153" s="113">
        <f>VLOOKUP(A153,[3]RESUMEN!$A:$AH,34,1)</f>
        <v>0.7348301253817533</v>
      </c>
      <c r="N153" s="113">
        <f>VLOOKUP(A153,[3]RESUMEN!$A:$AI,35,1)</f>
        <v>0.31662216277026312</v>
      </c>
    </row>
    <row r="154" spans="1:14" x14ac:dyDescent="0.25">
      <c r="A154" s="102">
        <v>38709</v>
      </c>
      <c r="B154">
        <v>35.25</v>
      </c>
      <c r="C154">
        <v>60.48</v>
      </c>
      <c r="D154">
        <v>90.86</v>
      </c>
      <c r="E154">
        <v>167.73500000000001</v>
      </c>
      <c r="F154">
        <v>4.21</v>
      </c>
      <c r="G154">
        <v>4.7264999999999997</v>
      </c>
      <c r="H154">
        <v>4.7097999999999995</v>
      </c>
      <c r="I154">
        <v>2.4270999999999998</v>
      </c>
      <c r="J154">
        <v>4.7350000000000003</v>
      </c>
      <c r="K154">
        <v>0.10713222511172316</v>
      </c>
      <c r="L154" s="112">
        <f>VLOOKUP(A154,[3]RESUMEN!$A:$AE,31,1)</f>
        <v>-0.10158579984122701</v>
      </c>
      <c r="M154" s="113">
        <f>VLOOKUP(A154,[3]RESUMEN!$A:$AH,34,1)</f>
        <v>0.7348301253817533</v>
      </c>
      <c r="N154" s="113">
        <f>VLOOKUP(A154,[3]RESUMEN!$A:$AI,35,1)</f>
        <v>0.31662216277026312</v>
      </c>
    </row>
    <row r="155" spans="1:14" x14ac:dyDescent="0.25">
      <c r="A155" s="102">
        <v>38716</v>
      </c>
      <c r="B155">
        <v>35</v>
      </c>
      <c r="C155">
        <v>59.780999999999999</v>
      </c>
      <c r="D155">
        <v>90.335999999999999</v>
      </c>
      <c r="E155">
        <v>167</v>
      </c>
      <c r="F155">
        <v>4.09</v>
      </c>
      <c r="G155">
        <v>4.7460000000000004</v>
      </c>
      <c r="H155">
        <v>4.7328000000000001</v>
      </c>
      <c r="I155">
        <v>2.4270999999999998</v>
      </c>
      <c r="J155">
        <v>4.7569999999999997</v>
      </c>
      <c r="K155">
        <v>0.10713222511172316</v>
      </c>
      <c r="L155" s="112">
        <f>VLOOKUP(A155,[3]RESUMEN!$A:$AE,31,1)</f>
        <v>-0.10158579984122701</v>
      </c>
      <c r="M155" s="113">
        <f>VLOOKUP(A155,[3]RESUMEN!$A:$AH,34,1)</f>
        <v>0.7348301253817533</v>
      </c>
      <c r="N155" s="113">
        <f>VLOOKUP(A155,[3]RESUMEN!$A:$AI,35,1)</f>
        <v>0.31662216277026312</v>
      </c>
    </row>
    <row r="156" spans="1:14" x14ac:dyDescent="0.25">
      <c r="A156" s="102">
        <v>38723</v>
      </c>
      <c r="B156">
        <v>33</v>
      </c>
      <c r="C156">
        <v>59.48</v>
      </c>
      <c r="D156">
        <v>89.32</v>
      </c>
      <c r="E156">
        <v>163.417</v>
      </c>
      <c r="F156">
        <v>4.22</v>
      </c>
      <c r="G156">
        <v>4.7107999999999999</v>
      </c>
      <c r="H156">
        <v>4.6713000000000005</v>
      </c>
      <c r="I156">
        <v>2.4270999999999998</v>
      </c>
      <c r="J156">
        <v>4.6875</v>
      </c>
      <c r="K156">
        <v>0.10448618012882716</v>
      </c>
      <c r="L156" s="112">
        <f>VLOOKUP(A156,[3]RESUMEN!$A:$AE,31,1)</f>
        <v>-9.1323084154132109E-2</v>
      </c>
      <c r="M156" s="113">
        <f>VLOOKUP(A156,[3]RESUMEN!$A:$AH,34,1)</f>
        <v>0.64794486282176034</v>
      </c>
      <c r="N156" s="113">
        <f>VLOOKUP(A156,[3]RESUMEN!$A:$AI,35,1)</f>
        <v>0.27831088933381409</v>
      </c>
    </row>
    <row r="157" spans="1:14" x14ac:dyDescent="0.25">
      <c r="A157" s="102">
        <v>38730</v>
      </c>
      <c r="B157">
        <v>32.417000000000002</v>
      </c>
      <c r="C157">
        <v>59.4</v>
      </c>
      <c r="D157">
        <v>85.832999999999998</v>
      </c>
      <c r="E157">
        <v>156.792</v>
      </c>
      <c r="F157">
        <v>4.3</v>
      </c>
      <c r="G157">
        <v>4.6980000000000004</v>
      </c>
      <c r="H157">
        <v>4.6524999999999999</v>
      </c>
      <c r="I157">
        <v>2.4270999999999998</v>
      </c>
      <c r="J157">
        <v>4.6559999999999997</v>
      </c>
      <c r="K157">
        <v>0.1004190632433809</v>
      </c>
      <c r="L157" s="112">
        <f>VLOOKUP(A157,[3]RESUMEN!$A:$AE,31,1)</f>
        <v>-9.1323084154132109E-2</v>
      </c>
      <c r="M157" s="113">
        <f>VLOOKUP(A157,[3]RESUMEN!$A:$AH,34,1)</f>
        <v>0.64794486282176034</v>
      </c>
      <c r="N157" s="113">
        <f>VLOOKUP(A157,[3]RESUMEN!$A:$AI,35,1)</f>
        <v>0.27831088933381409</v>
      </c>
    </row>
    <row r="158" spans="1:14" x14ac:dyDescent="0.25">
      <c r="A158" s="102">
        <v>38737</v>
      </c>
      <c r="B158">
        <v>31.667000000000002</v>
      </c>
      <c r="C158">
        <v>57.125</v>
      </c>
      <c r="D158">
        <v>82.332999999999998</v>
      </c>
      <c r="E158">
        <v>152.083</v>
      </c>
      <c r="F158">
        <v>4.24</v>
      </c>
      <c r="G158">
        <v>4.7249999999999996</v>
      </c>
      <c r="H158">
        <v>4.6539999999999999</v>
      </c>
      <c r="I158">
        <v>2.4270999999999998</v>
      </c>
      <c r="J158">
        <v>4.6399999999999997</v>
      </c>
      <c r="K158">
        <v>9.754343740236493E-2</v>
      </c>
      <c r="L158" s="112">
        <f>VLOOKUP(A158,[3]RESUMEN!$A:$AE,31,1)</f>
        <v>-9.1323084154132109E-2</v>
      </c>
      <c r="M158" s="113">
        <f>VLOOKUP(A158,[3]RESUMEN!$A:$AH,34,1)</f>
        <v>0.64794486282176034</v>
      </c>
      <c r="N158" s="113">
        <f>VLOOKUP(A158,[3]RESUMEN!$A:$AI,35,1)</f>
        <v>0.27831088933381409</v>
      </c>
    </row>
    <row r="159" spans="1:14" x14ac:dyDescent="0.25">
      <c r="A159" s="102">
        <v>38744</v>
      </c>
      <c r="B159">
        <v>30.582999999999998</v>
      </c>
      <c r="C159">
        <v>52.765999999999998</v>
      </c>
      <c r="D159">
        <v>73.119</v>
      </c>
      <c r="E159">
        <v>142.071</v>
      </c>
      <c r="F159">
        <v>4.42</v>
      </c>
      <c r="G159">
        <v>4.843</v>
      </c>
      <c r="H159">
        <v>4.8037999999999998</v>
      </c>
      <c r="I159">
        <v>2.4270999999999998</v>
      </c>
      <c r="J159">
        <v>4.8224999999999998</v>
      </c>
      <c r="K159">
        <v>9.1396577025743997E-2</v>
      </c>
      <c r="L159" s="112">
        <f>VLOOKUP(A159,[3]RESUMEN!$A:$AE,31,1)</f>
        <v>-9.1323084154132109E-2</v>
      </c>
      <c r="M159" s="113">
        <f>VLOOKUP(A159,[3]RESUMEN!$A:$AH,34,1)</f>
        <v>0.64794486282176034</v>
      </c>
      <c r="N159" s="113">
        <f>VLOOKUP(A159,[3]RESUMEN!$A:$AI,35,1)</f>
        <v>0.27831088933381409</v>
      </c>
    </row>
    <row r="160" spans="1:14" x14ac:dyDescent="0.25">
      <c r="A160" s="102">
        <v>38751</v>
      </c>
      <c r="B160">
        <v>30.25</v>
      </c>
      <c r="C160">
        <v>49.959000000000003</v>
      </c>
      <c r="D160">
        <v>68.466999999999999</v>
      </c>
      <c r="E160">
        <v>132.267</v>
      </c>
      <c r="F160">
        <v>4.51</v>
      </c>
      <c r="G160">
        <v>4.9204999999999997</v>
      </c>
      <c r="H160">
        <v>4.8875000000000002</v>
      </c>
      <c r="I160">
        <v>2.4270999999999998</v>
      </c>
      <c r="J160">
        <v>4.8929999999999998</v>
      </c>
      <c r="K160">
        <v>8.5307917036662184E-2</v>
      </c>
      <c r="L160" s="112">
        <f>VLOOKUP(A160,[3]RESUMEN!$A:$AE,31,1)</f>
        <v>-9.1323084154132109E-2</v>
      </c>
      <c r="M160" s="113">
        <f>VLOOKUP(A160,[3]RESUMEN!$A:$AH,34,1)</f>
        <v>0.64794486282176034</v>
      </c>
      <c r="N160" s="113">
        <f>VLOOKUP(A160,[3]RESUMEN!$A:$AI,35,1)</f>
        <v>0.27831088933381409</v>
      </c>
    </row>
    <row r="161" spans="1:14" x14ac:dyDescent="0.25">
      <c r="A161" s="102">
        <v>38758</v>
      </c>
      <c r="B161">
        <v>25.5</v>
      </c>
      <c r="C161">
        <v>43.033999999999999</v>
      </c>
      <c r="D161">
        <v>57.945</v>
      </c>
      <c r="E161">
        <v>113.69499999999999</v>
      </c>
      <c r="F161">
        <v>4.51</v>
      </c>
      <c r="G161">
        <v>5.0129999999999999</v>
      </c>
      <c r="H161">
        <v>4.99</v>
      </c>
      <c r="I161">
        <v>2.4270999999999998</v>
      </c>
      <c r="J161">
        <v>4.9719999999999995</v>
      </c>
      <c r="K161">
        <v>7.3710352615775965E-2</v>
      </c>
      <c r="L161" s="112">
        <f>VLOOKUP(A161,[3]RESUMEN!$A:$AE,31,1)</f>
        <v>-9.1323084154132109E-2</v>
      </c>
      <c r="M161" s="113">
        <f>VLOOKUP(A161,[3]RESUMEN!$A:$AH,34,1)</f>
        <v>0.64794486282176034</v>
      </c>
      <c r="N161" s="113">
        <f>VLOOKUP(A161,[3]RESUMEN!$A:$AI,35,1)</f>
        <v>0.27831088933381409</v>
      </c>
    </row>
    <row r="162" spans="1:14" x14ac:dyDescent="0.25">
      <c r="A162" s="102">
        <v>38765</v>
      </c>
      <c r="B162">
        <v>24.417000000000002</v>
      </c>
      <c r="C162">
        <v>46.5</v>
      </c>
      <c r="D162">
        <v>61.014000000000003</v>
      </c>
      <c r="E162">
        <v>111.599</v>
      </c>
      <c r="F162">
        <v>4.4800000000000004</v>
      </c>
      <c r="G162">
        <v>5.0103</v>
      </c>
      <c r="H162">
        <v>4.9687999999999999</v>
      </c>
      <c r="I162">
        <v>2.4270999999999998</v>
      </c>
      <c r="J162">
        <v>4.9539999999999997</v>
      </c>
      <c r="K162">
        <v>7.2350709935919078E-2</v>
      </c>
      <c r="L162" s="112">
        <f>VLOOKUP(A162,[3]RESUMEN!$A:$AE,31,1)</f>
        <v>-9.1323084154132109E-2</v>
      </c>
      <c r="M162" s="113">
        <f>VLOOKUP(A162,[3]RESUMEN!$A:$AH,34,1)</f>
        <v>0.64794486282176034</v>
      </c>
      <c r="N162" s="113">
        <f>VLOOKUP(A162,[3]RESUMEN!$A:$AI,35,1)</f>
        <v>0.27831088933381409</v>
      </c>
    </row>
    <row r="163" spans="1:14" x14ac:dyDescent="0.25">
      <c r="A163" s="102">
        <v>38772</v>
      </c>
      <c r="B163">
        <v>22.7</v>
      </c>
      <c r="C163">
        <v>43</v>
      </c>
      <c r="D163">
        <v>57.662999999999997</v>
      </c>
      <c r="E163">
        <v>102.58199999999999</v>
      </c>
      <c r="F163">
        <v>4.4800000000000004</v>
      </c>
      <c r="G163">
        <v>5.0629999999999997</v>
      </c>
      <c r="H163">
        <v>5.0324999999999998</v>
      </c>
      <c r="I163">
        <v>2.4270999999999998</v>
      </c>
      <c r="J163">
        <v>5</v>
      </c>
      <c r="K163">
        <v>6.6654900008257134E-2</v>
      </c>
      <c r="L163" s="112">
        <f>VLOOKUP(A163,[3]RESUMEN!$A:$AE,31,1)</f>
        <v>-9.1323084154132109E-2</v>
      </c>
      <c r="M163" s="113">
        <f>VLOOKUP(A163,[3]RESUMEN!$A:$AH,34,1)</f>
        <v>0.64794486282176034</v>
      </c>
      <c r="N163" s="113">
        <f>VLOOKUP(A163,[3]RESUMEN!$A:$AI,35,1)</f>
        <v>0.27831088933381409</v>
      </c>
    </row>
    <row r="164" spans="1:14" x14ac:dyDescent="0.25">
      <c r="A164" s="102">
        <v>38779</v>
      </c>
      <c r="B164">
        <v>20.3</v>
      </c>
      <c r="C164">
        <v>41.795000000000002</v>
      </c>
      <c r="D164">
        <v>59.347999999999999</v>
      </c>
      <c r="E164">
        <v>104.515</v>
      </c>
      <c r="F164">
        <v>4.51</v>
      </c>
      <c r="G164">
        <v>5.0685000000000002</v>
      </c>
      <c r="H164">
        <v>5.0682999999999998</v>
      </c>
      <c r="I164">
        <v>2.4270999999999998</v>
      </c>
      <c r="J164">
        <v>5.085</v>
      </c>
      <c r="K164">
        <v>6.729850192162723E-2</v>
      </c>
      <c r="L164" s="112">
        <f>VLOOKUP(A164,[3]RESUMEN!$A:$AE,31,1)</f>
        <v>-9.1323084154132109E-2</v>
      </c>
      <c r="M164" s="113">
        <f>VLOOKUP(A164,[3]RESUMEN!$A:$AH,34,1)</f>
        <v>0.64794486282176034</v>
      </c>
      <c r="N164" s="113">
        <f>VLOOKUP(A164,[3]RESUMEN!$A:$AI,35,1)</f>
        <v>0.27831088933381409</v>
      </c>
    </row>
    <row r="165" spans="1:14" x14ac:dyDescent="0.25">
      <c r="A165" s="102">
        <v>38786</v>
      </c>
      <c r="B165">
        <v>25.167000000000002</v>
      </c>
      <c r="C165">
        <v>53.615000000000002</v>
      </c>
      <c r="D165">
        <v>79.010000000000005</v>
      </c>
      <c r="E165">
        <v>128.72499999999999</v>
      </c>
      <c r="F165">
        <v>4.51</v>
      </c>
      <c r="G165">
        <v>5.1364999999999998</v>
      </c>
      <c r="H165">
        <v>5.1215000000000002</v>
      </c>
      <c r="I165">
        <v>2.4270999999999998</v>
      </c>
      <c r="J165">
        <v>5.133</v>
      </c>
      <c r="K165">
        <v>8.2972799706807265E-2</v>
      </c>
      <c r="L165" s="112">
        <f>VLOOKUP(A165,[3]RESUMEN!$A:$AE,31,1)</f>
        <v>-9.1323084154132109E-2</v>
      </c>
      <c r="M165" s="113">
        <f>VLOOKUP(A165,[3]RESUMEN!$A:$AH,34,1)</f>
        <v>0.64794486282176034</v>
      </c>
      <c r="N165" s="113">
        <f>VLOOKUP(A165,[3]RESUMEN!$A:$AI,35,1)</f>
        <v>0.27831088933381409</v>
      </c>
    </row>
    <row r="166" spans="1:14" x14ac:dyDescent="0.25">
      <c r="A166" s="102">
        <v>38793</v>
      </c>
      <c r="B166">
        <v>22.3</v>
      </c>
      <c r="C166">
        <v>46.137</v>
      </c>
      <c r="D166">
        <v>71.513999999999996</v>
      </c>
      <c r="E166">
        <v>120.3</v>
      </c>
      <c r="F166">
        <v>4.5999999999999996</v>
      </c>
      <c r="G166">
        <v>5.0374999999999996</v>
      </c>
      <c r="H166">
        <v>4.9787999999999997</v>
      </c>
      <c r="I166">
        <v>2.4270999999999998</v>
      </c>
      <c r="J166">
        <v>5.0019999999999998</v>
      </c>
      <c r="K166">
        <v>7.7781052212061996E-2</v>
      </c>
      <c r="L166" s="112">
        <f>VLOOKUP(A166,[3]RESUMEN!$A:$AE,31,1)</f>
        <v>-9.1323084154132109E-2</v>
      </c>
      <c r="M166" s="113">
        <f>VLOOKUP(A166,[3]RESUMEN!$A:$AH,34,1)</f>
        <v>0.64794486282176034</v>
      </c>
      <c r="N166" s="113">
        <f>VLOOKUP(A166,[3]RESUMEN!$A:$AI,35,1)</f>
        <v>0.27831088933381409</v>
      </c>
    </row>
    <row r="167" spans="1:14" x14ac:dyDescent="0.25">
      <c r="A167" s="102">
        <v>38800</v>
      </c>
      <c r="B167">
        <v>26.356999999999999</v>
      </c>
      <c r="C167">
        <v>55.579000000000001</v>
      </c>
      <c r="D167">
        <v>83.914000000000001</v>
      </c>
      <c r="E167">
        <v>135.34200000000001</v>
      </c>
      <c r="F167">
        <v>4.6899999999999995</v>
      </c>
      <c r="G167">
        <v>5.0655000000000001</v>
      </c>
      <c r="H167">
        <v>5.0225</v>
      </c>
      <c r="I167">
        <v>2.4270999999999998</v>
      </c>
      <c r="J167">
        <v>5.0339999999999998</v>
      </c>
      <c r="K167">
        <v>8.7097606211065659E-2</v>
      </c>
      <c r="L167" s="112">
        <f>VLOOKUP(A167,[3]RESUMEN!$A:$AE,31,1)</f>
        <v>-9.1323084154132109E-2</v>
      </c>
      <c r="M167" s="113">
        <f>VLOOKUP(A167,[3]RESUMEN!$A:$AH,34,1)</f>
        <v>0.64794486282176034</v>
      </c>
      <c r="N167" s="113">
        <f>VLOOKUP(A167,[3]RESUMEN!$A:$AI,35,1)</f>
        <v>0.27831088933381409</v>
      </c>
    </row>
    <row r="168" spans="1:14" x14ac:dyDescent="0.25">
      <c r="A168" s="102">
        <v>38807</v>
      </c>
      <c r="B168">
        <v>26.713999999999999</v>
      </c>
      <c r="C168">
        <v>55.046999999999997</v>
      </c>
      <c r="D168">
        <v>83.534000000000006</v>
      </c>
      <c r="E168">
        <v>136.96199999999999</v>
      </c>
      <c r="F168">
        <v>5</v>
      </c>
      <c r="G168">
        <v>5.1995000000000005</v>
      </c>
      <c r="H168">
        <v>5.1805000000000003</v>
      </c>
      <c r="I168">
        <v>2.4270999999999998</v>
      </c>
      <c r="J168">
        <v>5.2024999999999997</v>
      </c>
      <c r="K168">
        <v>8.7929121565513357E-2</v>
      </c>
      <c r="L168" s="112">
        <f>VLOOKUP(A168,[3]RESUMEN!$A:$AE,31,1)</f>
        <v>-2.4153574540468428E-2</v>
      </c>
      <c r="M168" s="113">
        <f>VLOOKUP(A168,[3]RESUMEN!$A:$AH,34,1)</f>
        <v>0.73189466850858909</v>
      </c>
      <c r="N168" s="113">
        <f>VLOOKUP(A168,[3]RESUMEN!$A:$AI,35,1)</f>
        <v>0.35387054698406034</v>
      </c>
    </row>
    <row r="169" spans="1:14" x14ac:dyDescent="0.25">
      <c r="A169" s="102">
        <v>38814</v>
      </c>
      <c r="B169">
        <v>27.25</v>
      </c>
      <c r="C169">
        <v>57.89</v>
      </c>
      <c r="D169">
        <v>88.26</v>
      </c>
      <c r="E169">
        <v>144.76</v>
      </c>
      <c r="F169">
        <v>4.76</v>
      </c>
      <c r="G169">
        <v>5.2664999999999997</v>
      </c>
      <c r="H169">
        <v>5.2504999999999997</v>
      </c>
      <c r="I169">
        <v>2.4270999999999998</v>
      </c>
      <c r="J169">
        <v>5.3049999999999997</v>
      </c>
      <c r="K169">
        <v>9.2934298619482214E-2</v>
      </c>
      <c r="L169" s="112">
        <f>VLOOKUP(A169,[3]RESUMEN!$A:$AE,31,1)</f>
        <v>-2.4153574540468428E-2</v>
      </c>
      <c r="M169" s="113">
        <f>VLOOKUP(A169,[3]RESUMEN!$A:$AH,34,1)</f>
        <v>0.73189466850858909</v>
      </c>
      <c r="N169" s="113">
        <f>VLOOKUP(A169,[3]RESUMEN!$A:$AI,35,1)</f>
        <v>0.35387054698406034</v>
      </c>
    </row>
    <row r="170" spans="1:14" x14ac:dyDescent="0.25">
      <c r="A170" s="102">
        <v>38821</v>
      </c>
      <c r="B170">
        <v>27.5</v>
      </c>
      <c r="C170">
        <v>58.966999999999999</v>
      </c>
      <c r="D170">
        <v>89.674000000000007</v>
      </c>
      <c r="E170">
        <v>148.07400000000001</v>
      </c>
      <c r="F170">
        <v>4.8</v>
      </c>
      <c r="G170">
        <v>5.2770000000000001</v>
      </c>
      <c r="H170">
        <v>5.2865000000000002</v>
      </c>
      <c r="I170">
        <v>2.4270999999999998</v>
      </c>
      <c r="J170">
        <v>5.3494999999999999</v>
      </c>
      <c r="K170">
        <v>9.4992091930067857E-2</v>
      </c>
      <c r="L170" s="112">
        <f>VLOOKUP(A170,[3]RESUMEN!$A:$AE,31,1)</f>
        <v>-2.4153574540468428E-2</v>
      </c>
      <c r="M170" s="113">
        <f>VLOOKUP(A170,[3]RESUMEN!$A:$AH,34,1)</f>
        <v>0.73189466850858909</v>
      </c>
      <c r="N170" s="113">
        <f>VLOOKUP(A170,[3]RESUMEN!$A:$AI,35,1)</f>
        <v>0.35387054698406034</v>
      </c>
    </row>
    <row r="171" spans="1:14" x14ac:dyDescent="0.25">
      <c r="A171" s="102">
        <v>38828</v>
      </c>
      <c r="B171">
        <v>24.928999999999998</v>
      </c>
      <c r="C171">
        <v>47.031999999999996</v>
      </c>
      <c r="D171">
        <v>73.165999999999997</v>
      </c>
      <c r="E171">
        <v>124.73699999999999</v>
      </c>
      <c r="F171">
        <v>4.74</v>
      </c>
      <c r="G171">
        <v>5.2634999999999996</v>
      </c>
      <c r="H171">
        <v>5.2279999999999998</v>
      </c>
      <c r="I171">
        <v>2.4270999999999998</v>
      </c>
      <c r="J171">
        <v>5.2904999999999998</v>
      </c>
      <c r="K171">
        <v>8.0551695114641664E-2</v>
      </c>
      <c r="L171" s="112">
        <f>VLOOKUP(A171,[3]RESUMEN!$A:$AE,31,1)</f>
        <v>-2.4153574540468428E-2</v>
      </c>
      <c r="M171" s="113">
        <f>VLOOKUP(A171,[3]RESUMEN!$A:$AH,34,1)</f>
        <v>0.73189466850858909</v>
      </c>
      <c r="N171" s="113">
        <f>VLOOKUP(A171,[3]RESUMEN!$A:$AI,35,1)</f>
        <v>0.35387054698406034</v>
      </c>
    </row>
    <row r="172" spans="1:14" x14ac:dyDescent="0.25">
      <c r="A172" s="102">
        <v>38835</v>
      </c>
      <c r="B172">
        <v>22.3</v>
      </c>
      <c r="C172">
        <v>47.121000000000002</v>
      </c>
      <c r="D172">
        <v>73.326999999999998</v>
      </c>
      <c r="E172">
        <v>125.994</v>
      </c>
      <c r="F172">
        <v>4.8600000000000003</v>
      </c>
      <c r="G172">
        <v>5.2229999999999999</v>
      </c>
      <c r="H172">
        <v>5.2069999999999999</v>
      </c>
      <c r="I172">
        <v>2.4270999999999998</v>
      </c>
      <c r="J172">
        <v>5.2969999999999997</v>
      </c>
      <c r="K172">
        <v>8.132353705384332E-2</v>
      </c>
      <c r="L172" s="112">
        <f>VLOOKUP(A172,[3]RESUMEN!$A:$AE,31,1)</f>
        <v>-2.4153574540468428E-2</v>
      </c>
      <c r="M172" s="113">
        <f>VLOOKUP(A172,[3]RESUMEN!$A:$AH,34,1)</f>
        <v>0.73189466850858909</v>
      </c>
      <c r="N172" s="113">
        <f>VLOOKUP(A172,[3]RESUMEN!$A:$AI,35,1)</f>
        <v>0.35387054698406034</v>
      </c>
    </row>
    <row r="173" spans="1:14" x14ac:dyDescent="0.25">
      <c r="A173" s="102">
        <v>38842</v>
      </c>
      <c r="B173">
        <v>21.417000000000002</v>
      </c>
      <c r="C173">
        <v>43.73</v>
      </c>
      <c r="D173">
        <v>70.89</v>
      </c>
      <c r="E173">
        <v>125.73699999999999</v>
      </c>
      <c r="F173">
        <v>4.83</v>
      </c>
      <c r="G173">
        <v>5.29</v>
      </c>
      <c r="H173">
        <v>5.2854999999999999</v>
      </c>
      <c r="I173">
        <v>2.4270999999999998</v>
      </c>
      <c r="J173">
        <v>5.3674999999999997</v>
      </c>
      <c r="K173">
        <v>8.132353705384332E-2</v>
      </c>
      <c r="L173" s="112">
        <f>VLOOKUP(A173,[3]RESUMEN!$A:$AE,31,1)</f>
        <v>-2.4153574540468428E-2</v>
      </c>
      <c r="M173" s="113">
        <f>VLOOKUP(A173,[3]RESUMEN!$A:$AH,34,1)</f>
        <v>0.73189466850858909</v>
      </c>
      <c r="N173" s="113">
        <f>VLOOKUP(A173,[3]RESUMEN!$A:$AI,35,1)</f>
        <v>0.35387054698406034</v>
      </c>
    </row>
    <row r="174" spans="1:14" x14ac:dyDescent="0.25">
      <c r="A174" s="102">
        <v>38849</v>
      </c>
      <c r="B174">
        <v>23.625</v>
      </c>
      <c r="C174">
        <v>49.875</v>
      </c>
      <c r="D174">
        <v>81.099999999999994</v>
      </c>
      <c r="E174">
        <v>141.4</v>
      </c>
      <c r="F174">
        <v>5.01</v>
      </c>
      <c r="G174">
        <v>5.3220000000000001</v>
      </c>
      <c r="H174">
        <v>5.3419999999999996</v>
      </c>
      <c r="I174">
        <v>2.4270999999999998</v>
      </c>
      <c r="J174">
        <v>5.4450000000000003</v>
      </c>
      <c r="K174">
        <v>9.0943575212558248E-2</v>
      </c>
      <c r="L174" s="112">
        <f>VLOOKUP(A174,[3]RESUMEN!$A:$AE,31,1)</f>
        <v>-2.4153574540468428E-2</v>
      </c>
      <c r="M174" s="113">
        <f>VLOOKUP(A174,[3]RESUMEN!$A:$AH,34,1)</f>
        <v>0.73189466850858909</v>
      </c>
      <c r="N174" s="113">
        <f>VLOOKUP(A174,[3]RESUMEN!$A:$AI,35,1)</f>
        <v>0.35387054698406034</v>
      </c>
    </row>
    <row r="175" spans="1:14" x14ac:dyDescent="0.25">
      <c r="A175" s="102">
        <v>38856</v>
      </c>
      <c r="B175">
        <v>27.8</v>
      </c>
      <c r="C175">
        <v>62.633000000000003</v>
      </c>
      <c r="D175">
        <v>100.333</v>
      </c>
      <c r="E175">
        <v>172.44399999999999</v>
      </c>
      <c r="F175">
        <v>5</v>
      </c>
      <c r="G175">
        <v>5.3414999999999999</v>
      </c>
      <c r="H175">
        <v>5.3140000000000001</v>
      </c>
      <c r="I175">
        <v>2.4270999999999998</v>
      </c>
      <c r="J175">
        <v>5.3605</v>
      </c>
      <c r="K175">
        <v>0.10991674845293165</v>
      </c>
      <c r="L175" s="112">
        <f>VLOOKUP(A175,[3]RESUMEN!$A:$AE,31,1)</f>
        <v>-2.4153574540468428E-2</v>
      </c>
      <c r="M175" s="113">
        <f>VLOOKUP(A175,[3]RESUMEN!$A:$AH,34,1)</f>
        <v>0.73189466850858909</v>
      </c>
      <c r="N175" s="113">
        <f>VLOOKUP(A175,[3]RESUMEN!$A:$AI,35,1)</f>
        <v>0.35387054698406034</v>
      </c>
    </row>
    <row r="176" spans="1:14" x14ac:dyDescent="0.25">
      <c r="A176" s="102">
        <v>38863</v>
      </c>
      <c r="B176">
        <v>27.082999999999998</v>
      </c>
      <c r="C176">
        <v>57.639000000000003</v>
      </c>
      <c r="D176">
        <v>89.533000000000001</v>
      </c>
      <c r="E176">
        <v>163.94900000000001</v>
      </c>
      <c r="F176">
        <v>4.99</v>
      </c>
      <c r="G176">
        <v>5.3170000000000002</v>
      </c>
      <c r="H176">
        <v>5.2830000000000004</v>
      </c>
      <c r="I176">
        <v>2.4270999999999998</v>
      </c>
      <c r="J176">
        <v>5.3449999999999998</v>
      </c>
      <c r="K176">
        <v>0.10483736297246027</v>
      </c>
      <c r="L176" s="112">
        <f>VLOOKUP(A176,[3]RESUMEN!$A:$AE,31,1)</f>
        <v>-2.4153574540468428E-2</v>
      </c>
      <c r="M176" s="113">
        <f>VLOOKUP(A176,[3]RESUMEN!$A:$AH,34,1)</f>
        <v>0.73189466850858909</v>
      </c>
      <c r="N176" s="113">
        <f>VLOOKUP(A176,[3]RESUMEN!$A:$AI,35,1)</f>
        <v>0.35387054698406034</v>
      </c>
    </row>
    <row r="177" spans="1:14" x14ac:dyDescent="0.25">
      <c r="A177" s="102">
        <v>38870</v>
      </c>
      <c r="B177">
        <v>27.571000000000002</v>
      </c>
      <c r="C177">
        <v>62.6</v>
      </c>
      <c r="D177">
        <v>95.213999999999999</v>
      </c>
      <c r="E177">
        <v>174.078</v>
      </c>
      <c r="F177">
        <v>4.97</v>
      </c>
      <c r="G177">
        <v>5.2904999999999998</v>
      </c>
      <c r="H177">
        <v>5.2484999999999999</v>
      </c>
      <c r="I177">
        <v>2.4270999999999998</v>
      </c>
      <c r="J177">
        <v>5.2960000000000003</v>
      </c>
      <c r="K177">
        <v>0.11100049022422009</v>
      </c>
      <c r="L177" s="112">
        <f>VLOOKUP(A177,[3]RESUMEN!$A:$AE,31,1)</f>
        <v>-2.4153574540468428E-2</v>
      </c>
      <c r="M177" s="113">
        <f>VLOOKUP(A177,[3]RESUMEN!$A:$AH,34,1)</f>
        <v>0.73189466850858909</v>
      </c>
      <c r="N177" s="113">
        <f>VLOOKUP(A177,[3]RESUMEN!$A:$AI,35,1)</f>
        <v>0.35387054698406034</v>
      </c>
    </row>
    <row r="178" spans="1:14" x14ac:dyDescent="0.25">
      <c r="A178" s="102">
        <v>38877</v>
      </c>
      <c r="B178">
        <v>25</v>
      </c>
      <c r="C178">
        <v>56.125</v>
      </c>
      <c r="D178">
        <v>91.082999999999998</v>
      </c>
      <c r="E178">
        <v>174.583</v>
      </c>
      <c r="F178">
        <v>5</v>
      </c>
      <c r="G178">
        <v>5.4080000000000004</v>
      </c>
      <c r="H178">
        <v>5.3445</v>
      </c>
      <c r="I178">
        <v>2.4270999999999998</v>
      </c>
      <c r="J178">
        <v>5.3479999999999999</v>
      </c>
      <c r="K178">
        <v>0.11100049022422009</v>
      </c>
      <c r="L178" s="112">
        <f>VLOOKUP(A178,[3]RESUMEN!$A:$AE,31,1)</f>
        <v>-2.4153574540468428E-2</v>
      </c>
      <c r="M178" s="113">
        <f>VLOOKUP(A178,[3]RESUMEN!$A:$AH,34,1)</f>
        <v>0.73189466850858909</v>
      </c>
      <c r="N178" s="113">
        <f>VLOOKUP(A178,[3]RESUMEN!$A:$AI,35,1)</f>
        <v>0.35387054698406034</v>
      </c>
    </row>
    <row r="179" spans="1:14" x14ac:dyDescent="0.25">
      <c r="A179" s="102">
        <v>38884</v>
      </c>
      <c r="B179">
        <v>26.4</v>
      </c>
      <c r="C179">
        <v>58.625</v>
      </c>
      <c r="D179">
        <v>95.436999999999998</v>
      </c>
      <c r="E179">
        <v>180.85400000000001</v>
      </c>
      <c r="F179">
        <v>4.9399999999999995</v>
      </c>
      <c r="G179">
        <v>5.5655000000000001</v>
      </c>
      <c r="H179">
        <v>5.5084999999999997</v>
      </c>
      <c r="I179">
        <v>2.4270999999999998</v>
      </c>
      <c r="J179">
        <v>5.524</v>
      </c>
      <c r="K179">
        <v>0.11519127663458983</v>
      </c>
      <c r="L179" s="112">
        <f>VLOOKUP(A179,[3]RESUMEN!$A:$AE,31,1)</f>
        <v>-2.4153574540468428E-2</v>
      </c>
      <c r="M179" s="113">
        <f>VLOOKUP(A179,[3]RESUMEN!$A:$AH,34,1)</f>
        <v>0.73189466850858909</v>
      </c>
      <c r="N179" s="113">
        <f>VLOOKUP(A179,[3]RESUMEN!$A:$AI,35,1)</f>
        <v>0.35387054698406034</v>
      </c>
    </row>
    <row r="180" spans="1:14" x14ac:dyDescent="0.25">
      <c r="A180" s="102">
        <v>38891</v>
      </c>
      <c r="B180">
        <v>27.917000000000002</v>
      </c>
      <c r="C180">
        <v>65.375</v>
      </c>
      <c r="D180">
        <v>107.917</v>
      </c>
      <c r="E180">
        <v>200.429</v>
      </c>
      <c r="F180">
        <v>4.9800000000000004</v>
      </c>
      <c r="G180">
        <v>5.6669999999999998</v>
      </c>
      <c r="H180">
        <v>5.6325000000000003</v>
      </c>
      <c r="I180">
        <v>2.4270999999999998</v>
      </c>
      <c r="J180">
        <v>5.6494999999999997</v>
      </c>
      <c r="K180">
        <v>0.1269465246754391</v>
      </c>
      <c r="L180" s="112">
        <f>VLOOKUP(A180,[3]RESUMEN!$A:$AE,31,1)</f>
        <v>-2.4153574540468428E-2</v>
      </c>
      <c r="M180" s="113">
        <f>VLOOKUP(A180,[3]RESUMEN!$A:$AH,34,1)</f>
        <v>0.73189466850858909</v>
      </c>
      <c r="N180" s="113">
        <f>VLOOKUP(A180,[3]RESUMEN!$A:$AI,35,1)</f>
        <v>0.35387054698406034</v>
      </c>
    </row>
    <row r="181" spans="1:14" x14ac:dyDescent="0.25">
      <c r="A181" s="102">
        <v>38898</v>
      </c>
      <c r="B181">
        <v>26.917000000000002</v>
      </c>
      <c r="C181">
        <v>54.509</v>
      </c>
      <c r="D181">
        <v>91.007000000000005</v>
      </c>
      <c r="E181">
        <v>175.721</v>
      </c>
      <c r="F181">
        <v>5.05</v>
      </c>
      <c r="G181">
        <v>5.5750000000000002</v>
      </c>
      <c r="H181">
        <v>5.5285000000000002</v>
      </c>
      <c r="I181">
        <v>2.4270999999999998</v>
      </c>
      <c r="J181">
        <v>5.5419999999999998</v>
      </c>
      <c r="K181">
        <v>0.11210108351288062</v>
      </c>
      <c r="L181" s="112">
        <f>VLOOKUP(A181,[3]RESUMEN!$A:$AE,31,1)</f>
        <v>0.11824198986730208</v>
      </c>
      <c r="M181" s="113">
        <f>VLOOKUP(A181,[3]RESUMEN!$A:$AH,34,1)</f>
        <v>0.50747366093857349</v>
      </c>
      <c r="N181" s="113">
        <f>VLOOKUP(A181,[3]RESUMEN!$A:$AI,35,1)</f>
        <v>0.31285782540293777</v>
      </c>
    </row>
    <row r="182" spans="1:14" x14ac:dyDescent="0.25">
      <c r="A182" s="102">
        <v>38905</v>
      </c>
      <c r="B182">
        <v>27.167000000000002</v>
      </c>
      <c r="C182">
        <v>51.631</v>
      </c>
      <c r="D182">
        <v>85.879000000000005</v>
      </c>
      <c r="E182">
        <v>172.19</v>
      </c>
      <c r="F182">
        <v>5.22</v>
      </c>
      <c r="G182">
        <v>5.6120000000000001</v>
      </c>
      <c r="H182">
        <v>5.5465</v>
      </c>
      <c r="I182">
        <v>2.4270999999999998</v>
      </c>
      <c r="J182">
        <v>5.5510000000000002</v>
      </c>
      <c r="K182">
        <v>0.1099976604392866</v>
      </c>
      <c r="L182" s="112">
        <f>VLOOKUP(A182,[3]RESUMEN!$A:$AE,31,1)</f>
        <v>0.11824198986730208</v>
      </c>
      <c r="M182" s="113">
        <f>VLOOKUP(A182,[3]RESUMEN!$A:$AH,34,1)</f>
        <v>0.50747366093857349</v>
      </c>
      <c r="N182" s="113">
        <f>VLOOKUP(A182,[3]RESUMEN!$A:$AI,35,1)</f>
        <v>0.31285782540293777</v>
      </c>
    </row>
    <row r="183" spans="1:14" x14ac:dyDescent="0.25">
      <c r="A183" s="102">
        <v>38912</v>
      </c>
      <c r="B183">
        <v>28</v>
      </c>
      <c r="C183">
        <v>56.804000000000002</v>
      </c>
      <c r="D183">
        <v>94.307000000000002</v>
      </c>
      <c r="E183">
        <v>184.92</v>
      </c>
      <c r="F183">
        <v>5.26</v>
      </c>
      <c r="G183">
        <v>5.548</v>
      </c>
      <c r="H183">
        <v>5.4664999999999999</v>
      </c>
      <c r="I183">
        <v>2.4270999999999998</v>
      </c>
      <c r="J183">
        <v>5.476</v>
      </c>
      <c r="K183">
        <v>0.11769566099047213</v>
      </c>
      <c r="L183" s="112">
        <f>VLOOKUP(A183,[3]RESUMEN!$A:$AE,31,1)</f>
        <v>0.11824198986730208</v>
      </c>
      <c r="M183" s="113">
        <f>VLOOKUP(A183,[3]RESUMEN!$A:$AH,34,1)</f>
        <v>0.50747366093857349</v>
      </c>
      <c r="N183" s="113">
        <f>VLOOKUP(A183,[3]RESUMEN!$A:$AI,35,1)</f>
        <v>0.31285782540293777</v>
      </c>
    </row>
    <row r="184" spans="1:14" x14ac:dyDescent="0.25">
      <c r="A184" s="102">
        <v>38919</v>
      </c>
      <c r="B184">
        <v>27.082999999999998</v>
      </c>
      <c r="C184">
        <v>48.933</v>
      </c>
      <c r="D184">
        <v>82.698999999999998</v>
      </c>
      <c r="E184">
        <v>164.24199999999999</v>
      </c>
      <c r="F184">
        <v>5.23</v>
      </c>
      <c r="G184">
        <v>5.5120000000000005</v>
      </c>
      <c r="H184">
        <v>5.4234999999999998</v>
      </c>
      <c r="I184">
        <v>2.4270999999999998</v>
      </c>
      <c r="J184">
        <v>5.4180000000000001</v>
      </c>
      <c r="K184">
        <v>0.10545871423310527</v>
      </c>
      <c r="L184" s="112">
        <f>VLOOKUP(A184,[3]RESUMEN!$A:$AE,31,1)</f>
        <v>0.11824198986730208</v>
      </c>
      <c r="M184" s="113">
        <f>VLOOKUP(A184,[3]RESUMEN!$A:$AH,34,1)</f>
        <v>0.50747366093857349</v>
      </c>
      <c r="N184" s="113">
        <f>VLOOKUP(A184,[3]RESUMEN!$A:$AI,35,1)</f>
        <v>0.31285782540293777</v>
      </c>
    </row>
    <row r="185" spans="1:14" x14ac:dyDescent="0.25">
      <c r="A185" s="102">
        <v>38926</v>
      </c>
      <c r="B185">
        <v>24.75</v>
      </c>
      <c r="C185">
        <v>43.832000000000001</v>
      </c>
      <c r="D185">
        <v>71.863</v>
      </c>
      <c r="E185">
        <v>141.26300000000001</v>
      </c>
      <c r="F185">
        <v>5.26</v>
      </c>
      <c r="G185">
        <v>5.4375</v>
      </c>
      <c r="H185">
        <v>5.3215000000000003</v>
      </c>
      <c r="I185">
        <v>2.4270999999999998</v>
      </c>
      <c r="J185">
        <v>5.33</v>
      </c>
      <c r="K185">
        <v>9.0955552408760965E-2</v>
      </c>
      <c r="L185" s="112">
        <f>VLOOKUP(A185,[3]RESUMEN!$A:$AE,31,1)</f>
        <v>0.11824198986730208</v>
      </c>
      <c r="M185" s="113">
        <f>VLOOKUP(A185,[3]RESUMEN!$A:$AH,34,1)</f>
        <v>0.50747366093857349</v>
      </c>
      <c r="N185" s="113">
        <f>VLOOKUP(A185,[3]RESUMEN!$A:$AI,35,1)</f>
        <v>0.31285782540293777</v>
      </c>
    </row>
    <row r="186" spans="1:14" x14ac:dyDescent="0.25">
      <c r="A186" s="102">
        <v>38933</v>
      </c>
      <c r="B186">
        <v>25.167000000000002</v>
      </c>
      <c r="C186">
        <v>42.899000000000001</v>
      </c>
      <c r="D186">
        <v>68.311000000000007</v>
      </c>
      <c r="E186">
        <v>134.89699999999999</v>
      </c>
      <c r="F186">
        <v>5.25</v>
      </c>
      <c r="G186">
        <v>5.3949999999999996</v>
      </c>
      <c r="H186">
        <v>5.2504999999999997</v>
      </c>
      <c r="I186">
        <v>2.4270999999999998</v>
      </c>
      <c r="J186">
        <v>5.2359999999999998</v>
      </c>
      <c r="K186">
        <v>8.7003139495359649E-2</v>
      </c>
      <c r="L186" s="112">
        <f>VLOOKUP(A186,[3]RESUMEN!$A:$AE,31,1)</f>
        <v>0.11824198986730208</v>
      </c>
      <c r="M186" s="113">
        <f>VLOOKUP(A186,[3]RESUMEN!$A:$AH,34,1)</f>
        <v>0.50747366093857349</v>
      </c>
      <c r="N186" s="113">
        <f>VLOOKUP(A186,[3]RESUMEN!$A:$AI,35,1)</f>
        <v>0.31285782540293777</v>
      </c>
    </row>
    <row r="187" spans="1:14" x14ac:dyDescent="0.25">
      <c r="A187" s="102">
        <v>38940</v>
      </c>
      <c r="B187">
        <v>24</v>
      </c>
      <c r="C187">
        <v>41.767000000000003</v>
      </c>
      <c r="D187">
        <v>65.762</v>
      </c>
      <c r="E187">
        <v>130.119</v>
      </c>
      <c r="F187">
        <v>5.24</v>
      </c>
      <c r="G187">
        <v>5.4364999999999997</v>
      </c>
      <c r="H187">
        <v>5.3125</v>
      </c>
      <c r="I187">
        <v>2.4270999999999998</v>
      </c>
      <c r="J187">
        <v>5.3010000000000002</v>
      </c>
      <c r="K187">
        <v>8.4032505689917159E-2</v>
      </c>
      <c r="L187" s="112">
        <f>VLOOKUP(A187,[3]RESUMEN!$A:$AE,31,1)</f>
        <v>0.11824198986730208</v>
      </c>
      <c r="M187" s="113">
        <f>VLOOKUP(A187,[3]RESUMEN!$A:$AH,34,1)</f>
        <v>0.50747366093857349</v>
      </c>
      <c r="N187" s="113">
        <f>VLOOKUP(A187,[3]RESUMEN!$A:$AI,35,1)</f>
        <v>0.31285782540293777</v>
      </c>
    </row>
    <row r="188" spans="1:14" x14ac:dyDescent="0.25">
      <c r="A188" s="102">
        <v>38947</v>
      </c>
      <c r="B188">
        <v>23.4</v>
      </c>
      <c r="C188">
        <v>40.045000000000002</v>
      </c>
      <c r="D188">
        <v>62.204000000000001</v>
      </c>
      <c r="E188">
        <v>124.675</v>
      </c>
      <c r="F188">
        <v>5.25</v>
      </c>
      <c r="G188">
        <v>5.3834999999999997</v>
      </c>
      <c r="H188">
        <v>5.2004999999999999</v>
      </c>
      <c r="I188">
        <v>2.4270999999999998</v>
      </c>
      <c r="J188">
        <v>5.1520000000000001</v>
      </c>
      <c r="K188">
        <v>8.0640762402622079E-2</v>
      </c>
      <c r="L188" s="112">
        <f>VLOOKUP(A188,[3]RESUMEN!$A:$AE,31,1)</f>
        <v>0.11824198986730208</v>
      </c>
      <c r="M188" s="113">
        <f>VLOOKUP(A188,[3]RESUMEN!$A:$AH,34,1)</f>
        <v>0.50747366093857349</v>
      </c>
      <c r="N188" s="113">
        <f>VLOOKUP(A188,[3]RESUMEN!$A:$AI,35,1)</f>
        <v>0.31285782540293777</v>
      </c>
    </row>
    <row r="189" spans="1:14" x14ac:dyDescent="0.25">
      <c r="A189" s="102">
        <v>38954</v>
      </c>
      <c r="B189">
        <v>23.75</v>
      </c>
      <c r="C189">
        <v>43.466999999999999</v>
      </c>
      <c r="D189">
        <v>71.673000000000002</v>
      </c>
      <c r="E189">
        <v>141.273</v>
      </c>
      <c r="F189">
        <v>5.25</v>
      </c>
      <c r="G189">
        <v>5.3529999999999998</v>
      </c>
      <c r="H189">
        <v>5.1725000000000003</v>
      </c>
      <c r="I189">
        <v>2.4270999999999998</v>
      </c>
      <c r="J189">
        <v>5.1340000000000003</v>
      </c>
      <c r="K189">
        <v>9.0973485499579843E-2</v>
      </c>
      <c r="L189" s="112">
        <f>VLOOKUP(A189,[3]RESUMEN!$A:$AE,31,1)</f>
        <v>0.11824198986730208</v>
      </c>
      <c r="M189" s="113">
        <f>VLOOKUP(A189,[3]RESUMEN!$A:$AH,34,1)</f>
        <v>0.50747366093857349</v>
      </c>
      <c r="N189" s="113">
        <f>VLOOKUP(A189,[3]RESUMEN!$A:$AI,35,1)</f>
        <v>0.31285782540293777</v>
      </c>
    </row>
    <row r="190" spans="1:14" x14ac:dyDescent="0.25">
      <c r="A190" s="102">
        <v>38961</v>
      </c>
      <c r="B190">
        <v>22.5</v>
      </c>
      <c r="C190">
        <v>38.667000000000002</v>
      </c>
      <c r="D190">
        <v>64</v>
      </c>
      <c r="E190">
        <v>129.6</v>
      </c>
      <c r="F190">
        <v>5.25</v>
      </c>
      <c r="G190">
        <v>5.2685000000000004</v>
      </c>
      <c r="H190">
        <v>5.0739999999999998</v>
      </c>
      <c r="I190">
        <v>2.4270999999999998</v>
      </c>
      <c r="J190">
        <v>5.0549999999999997</v>
      </c>
      <c r="K190">
        <v>8.3728248190292121E-2</v>
      </c>
      <c r="L190" s="112">
        <f>VLOOKUP(A190,[3]RESUMEN!$A:$AE,31,1)</f>
        <v>0.11824198986730208</v>
      </c>
      <c r="M190" s="113">
        <f>VLOOKUP(A190,[3]RESUMEN!$A:$AH,34,1)</f>
        <v>0.50747366093857349</v>
      </c>
      <c r="N190" s="113">
        <f>VLOOKUP(A190,[3]RESUMEN!$A:$AI,35,1)</f>
        <v>0.31285782540293777</v>
      </c>
    </row>
    <row r="191" spans="1:14" x14ac:dyDescent="0.25">
      <c r="A191" s="102">
        <v>38968</v>
      </c>
      <c r="B191">
        <v>23.5</v>
      </c>
      <c r="C191">
        <v>40.5</v>
      </c>
      <c r="D191">
        <v>64.667000000000002</v>
      </c>
      <c r="E191">
        <v>132.25</v>
      </c>
      <c r="F191">
        <v>5.23</v>
      </c>
      <c r="G191">
        <v>5.3025000000000002</v>
      </c>
      <c r="H191">
        <v>5.12</v>
      </c>
      <c r="I191">
        <v>2.4270999999999998</v>
      </c>
      <c r="J191">
        <v>5.0934999999999997</v>
      </c>
      <c r="K191">
        <v>8.5395491615493868E-2</v>
      </c>
      <c r="L191" s="112">
        <f>VLOOKUP(A191,[3]RESUMEN!$A:$AE,31,1)</f>
        <v>0.11824198986730208</v>
      </c>
      <c r="M191" s="113">
        <f>VLOOKUP(A191,[3]RESUMEN!$A:$AH,34,1)</f>
        <v>0.50747366093857349</v>
      </c>
      <c r="N191" s="113">
        <f>VLOOKUP(A191,[3]RESUMEN!$A:$AI,35,1)</f>
        <v>0.31285782540293777</v>
      </c>
    </row>
    <row r="192" spans="1:14" x14ac:dyDescent="0.25">
      <c r="A192" s="102">
        <v>38975</v>
      </c>
      <c r="B192">
        <v>25</v>
      </c>
      <c r="C192">
        <v>44.75</v>
      </c>
      <c r="D192">
        <v>67.900000000000006</v>
      </c>
      <c r="E192">
        <v>134.917</v>
      </c>
      <c r="F192">
        <v>5.25</v>
      </c>
      <c r="G192">
        <v>5.3529999999999998</v>
      </c>
      <c r="H192">
        <v>5.1820000000000004</v>
      </c>
      <c r="I192">
        <v>2.4270999999999998</v>
      </c>
      <c r="J192">
        <v>5.133</v>
      </c>
      <c r="K192">
        <v>8.7016483349632745E-2</v>
      </c>
      <c r="L192" s="112">
        <f>VLOOKUP(A192,[3]RESUMEN!$A:$AE,31,1)</f>
        <v>0.11824198986730208</v>
      </c>
      <c r="M192" s="113">
        <f>VLOOKUP(A192,[3]RESUMEN!$A:$AH,34,1)</f>
        <v>0.50747366093857349</v>
      </c>
      <c r="N192" s="113">
        <f>VLOOKUP(A192,[3]RESUMEN!$A:$AI,35,1)</f>
        <v>0.31285782540293777</v>
      </c>
    </row>
    <row r="193" spans="1:14" x14ac:dyDescent="0.25">
      <c r="A193" s="102">
        <v>38982</v>
      </c>
      <c r="B193">
        <v>30.4</v>
      </c>
      <c r="C193">
        <v>56.125</v>
      </c>
      <c r="D193">
        <v>86.25</v>
      </c>
      <c r="E193">
        <v>162.333</v>
      </c>
      <c r="F193">
        <v>5.27</v>
      </c>
      <c r="G193">
        <v>5.2</v>
      </c>
      <c r="H193">
        <v>4.9705000000000004</v>
      </c>
      <c r="I193">
        <v>2.4270999999999998</v>
      </c>
      <c r="J193">
        <v>4.9249999999999998</v>
      </c>
      <c r="K193">
        <v>0.10385071745457264</v>
      </c>
      <c r="L193" s="112">
        <f>VLOOKUP(A193,[3]RESUMEN!$A:$AE,31,1)</f>
        <v>0.11824198986730208</v>
      </c>
      <c r="M193" s="113">
        <f>VLOOKUP(A193,[3]RESUMEN!$A:$AH,34,1)</f>
        <v>0.50747366093857349</v>
      </c>
      <c r="N193" s="113">
        <f>VLOOKUP(A193,[3]RESUMEN!$A:$AI,35,1)</f>
        <v>0.31285782540293777</v>
      </c>
    </row>
    <row r="194" spans="1:14" x14ac:dyDescent="0.25">
      <c r="A194" s="102">
        <v>38989</v>
      </c>
      <c r="B194">
        <v>30.213999999999999</v>
      </c>
      <c r="C194">
        <v>49</v>
      </c>
      <c r="D194">
        <v>74</v>
      </c>
      <c r="E194">
        <v>145.06299999999999</v>
      </c>
      <c r="F194">
        <v>5.34</v>
      </c>
      <c r="G194">
        <v>5.2149999999999999</v>
      </c>
      <c r="H194">
        <v>4.9989999999999997</v>
      </c>
      <c r="I194">
        <v>2.4270999999999998</v>
      </c>
      <c r="J194">
        <v>4.9660000000000002</v>
      </c>
      <c r="K194">
        <v>9.3260992058747827E-2</v>
      </c>
      <c r="L194" s="112">
        <f>VLOOKUP(A194,[3]RESUMEN!$A:$AE,31,1)</f>
        <v>0.11824198986730208</v>
      </c>
      <c r="M194" s="113">
        <f>VLOOKUP(A194,[3]RESUMEN!$A:$AH,34,1)</f>
        <v>0.50747366093857349</v>
      </c>
      <c r="N194" s="113">
        <f>VLOOKUP(A194,[3]RESUMEN!$A:$AI,35,1)</f>
        <v>0.31285782540293777</v>
      </c>
    </row>
    <row r="195" spans="1:14" x14ac:dyDescent="0.25">
      <c r="A195" s="102">
        <v>38996</v>
      </c>
      <c r="B195">
        <v>29.8</v>
      </c>
      <c r="C195">
        <v>44.9</v>
      </c>
      <c r="D195">
        <v>67</v>
      </c>
      <c r="E195">
        <v>135.417</v>
      </c>
      <c r="F195">
        <v>5.22</v>
      </c>
      <c r="G195">
        <v>5.2279999999999998</v>
      </c>
      <c r="H195">
        <v>5.0425000000000004</v>
      </c>
      <c r="I195">
        <v>2.4270999999999998</v>
      </c>
      <c r="J195">
        <v>5.0265000000000004</v>
      </c>
      <c r="K195">
        <v>8.732216210577548E-2</v>
      </c>
      <c r="L195" s="112">
        <f>VLOOKUP(A195,[3]RESUMEN!$A:$AE,31,1)</f>
        <v>7.6316159680948292E-2</v>
      </c>
      <c r="M195" s="113">
        <f>VLOOKUP(A195,[3]RESUMEN!$A:$AH,34,1)</f>
        <v>0.74020893119647813</v>
      </c>
      <c r="N195" s="113">
        <f>VLOOKUP(A195,[3]RESUMEN!$A:$AI,35,1)</f>
        <v>0.40826254543871321</v>
      </c>
    </row>
    <row r="196" spans="1:14" x14ac:dyDescent="0.25">
      <c r="A196" s="102">
        <v>39003</v>
      </c>
      <c r="B196">
        <v>27.8</v>
      </c>
      <c r="C196">
        <v>39.875</v>
      </c>
      <c r="D196">
        <v>59</v>
      </c>
      <c r="E196">
        <v>121</v>
      </c>
      <c r="F196">
        <v>5.21</v>
      </c>
      <c r="G196">
        <v>5.31</v>
      </c>
      <c r="H196">
        <v>5.16</v>
      </c>
      <c r="I196">
        <v>2.4270999999999998</v>
      </c>
      <c r="J196">
        <v>5.1529999999999996</v>
      </c>
      <c r="K196">
        <v>7.8321173588246418E-2</v>
      </c>
      <c r="L196" s="112">
        <f>VLOOKUP(A196,[3]RESUMEN!$A:$AE,31,1)</f>
        <v>7.6316159680948292E-2</v>
      </c>
      <c r="M196" s="113">
        <f>VLOOKUP(A196,[3]RESUMEN!$A:$AH,34,1)</f>
        <v>0.74020893119647813</v>
      </c>
      <c r="N196" s="113">
        <f>VLOOKUP(A196,[3]RESUMEN!$A:$AI,35,1)</f>
        <v>0.40826254543871321</v>
      </c>
    </row>
    <row r="197" spans="1:14" x14ac:dyDescent="0.25">
      <c r="A197" s="102">
        <v>39010</v>
      </c>
      <c r="B197">
        <v>28.4</v>
      </c>
      <c r="C197">
        <v>41.625</v>
      </c>
      <c r="D197">
        <v>62.1</v>
      </c>
      <c r="E197">
        <v>122.583</v>
      </c>
      <c r="F197">
        <v>5.25</v>
      </c>
      <c r="G197">
        <v>5.3150000000000004</v>
      </c>
      <c r="H197">
        <v>5.1559999999999997</v>
      </c>
      <c r="I197">
        <v>2.4270999999999998</v>
      </c>
      <c r="J197">
        <v>5.1334999999999997</v>
      </c>
      <c r="K197">
        <v>7.9072574193408851E-2</v>
      </c>
      <c r="L197" s="112">
        <f>VLOOKUP(A197,[3]RESUMEN!$A:$AE,31,1)</f>
        <v>7.6316159680948292E-2</v>
      </c>
      <c r="M197" s="113">
        <f>VLOOKUP(A197,[3]RESUMEN!$A:$AH,34,1)</f>
        <v>0.74020893119647813</v>
      </c>
      <c r="N197" s="113">
        <f>VLOOKUP(A197,[3]RESUMEN!$A:$AI,35,1)</f>
        <v>0.40826254543871321</v>
      </c>
    </row>
    <row r="198" spans="1:14" x14ac:dyDescent="0.25">
      <c r="A198" s="102">
        <v>39017</v>
      </c>
      <c r="B198">
        <v>28.553000000000001</v>
      </c>
      <c r="C198">
        <v>42.54</v>
      </c>
      <c r="D198">
        <v>62.006999999999998</v>
      </c>
      <c r="E198">
        <v>122.9</v>
      </c>
      <c r="F198">
        <v>5.23</v>
      </c>
      <c r="G198">
        <v>5.242</v>
      </c>
      <c r="H198">
        <v>5.0309999999999997</v>
      </c>
      <c r="I198">
        <v>2.4270999999999998</v>
      </c>
      <c r="J198">
        <v>4.9965000000000002</v>
      </c>
      <c r="K198">
        <v>7.9072574193408851E-2</v>
      </c>
      <c r="L198" s="112">
        <f>VLOOKUP(A198,[3]RESUMEN!$A:$AE,31,1)</f>
        <v>7.6316159680948292E-2</v>
      </c>
      <c r="M198" s="113">
        <f>VLOOKUP(A198,[3]RESUMEN!$A:$AH,34,1)</f>
        <v>0.74020893119647813</v>
      </c>
      <c r="N198" s="113">
        <f>VLOOKUP(A198,[3]RESUMEN!$A:$AI,35,1)</f>
        <v>0.40826254543871321</v>
      </c>
    </row>
    <row r="199" spans="1:14" x14ac:dyDescent="0.25">
      <c r="A199" s="102">
        <v>39024</v>
      </c>
      <c r="B199">
        <v>28.167000000000002</v>
      </c>
      <c r="C199">
        <v>41.7</v>
      </c>
      <c r="D199">
        <v>61.875</v>
      </c>
      <c r="E199">
        <v>120.5</v>
      </c>
      <c r="F199">
        <v>5.25</v>
      </c>
      <c r="G199">
        <v>5.28</v>
      </c>
      <c r="H199">
        <v>5.0975000000000001</v>
      </c>
      <c r="I199">
        <v>2.4270999999999998</v>
      </c>
      <c r="J199">
        <v>5.0594999999999999</v>
      </c>
      <c r="K199">
        <v>7.8313656486970307E-2</v>
      </c>
      <c r="L199" s="112">
        <f>VLOOKUP(A199,[3]RESUMEN!$A:$AE,31,1)</f>
        <v>7.6316159680948292E-2</v>
      </c>
      <c r="M199" s="113">
        <f>VLOOKUP(A199,[3]RESUMEN!$A:$AH,34,1)</f>
        <v>0.74020893119647813</v>
      </c>
      <c r="N199" s="113">
        <f>VLOOKUP(A199,[3]RESUMEN!$A:$AI,35,1)</f>
        <v>0.40826254543871321</v>
      </c>
    </row>
    <row r="200" spans="1:14" x14ac:dyDescent="0.25">
      <c r="A200" s="102">
        <v>39031</v>
      </c>
      <c r="B200">
        <v>29.7</v>
      </c>
      <c r="C200">
        <v>42.2</v>
      </c>
      <c r="D200">
        <v>61.8</v>
      </c>
      <c r="E200">
        <v>119.5</v>
      </c>
      <c r="F200">
        <v>5.23</v>
      </c>
      <c r="G200">
        <v>5.2115</v>
      </c>
      <c r="H200">
        <v>4.9809999999999999</v>
      </c>
      <c r="I200">
        <v>2.4270999999999998</v>
      </c>
      <c r="J200">
        <v>4.9119999999999999</v>
      </c>
      <c r="K200">
        <v>7.7561711900383079E-2</v>
      </c>
      <c r="L200" s="112">
        <f>VLOOKUP(A200,[3]RESUMEN!$A:$AE,31,1)</f>
        <v>7.6316159680948292E-2</v>
      </c>
      <c r="M200" s="113">
        <f>VLOOKUP(A200,[3]RESUMEN!$A:$AH,34,1)</f>
        <v>0.74020893119647813</v>
      </c>
      <c r="N200" s="113">
        <f>VLOOKUP(A200,[3]RESUMEN!$A:$AI,35,1)</f>
        <v>0.40826254543871321</v>
      </c>
    </row>
    <row r="201" spans="1:14" x14ac:dyDescent="0.25">
      <c r="A201" s="102">
        <v>39038</v>
      </c>
      <c r="B201">
        <v>27.571000000000002</v>
      </c>
      <c r="C201">
        <v>41.167000000000002</v>
      </c>
      <c r="D201">
        <v>59.713999999999999</v>
      </c>
      <c r="E201">
        <v>117.051</v>
      </c>
      <c r="F201">
        <v>5.2</v>
      </c>
      <c r="G201">
        <v>5.2074999999999996</v>
      </c>
      <c r="H201">
        <v>4.9859999999999998</v>
      </c>
      <c r="I201">
        <v>2.4270999999999998</v>
      </c>
      <c r="J201">
        <v>4.9059999999999997</v>
      </c>
      <c r="K201">
        <v>7.5831000710022689E-2</v>
      </c>
      <c r="L201" s="112">
        <f>VLOOKUP(A201,[3]RESUMEN!$A:$AE,31,1)</f>
        <v>7.6316159680948292E-2</v>
      </c>
      <c r="M201" s="113">
        <f>VLOOKUP(A201,[3]RESUMEN!$A:$AH,34,1)</f>
        <v>0.74020893119647813</v>
      </c>
      <c r="N201" s="113">
        <f>VLOOKUP(A201,[3]RESUMEN!$A:$AI,35,1)</f>
        <v>0.40826254543871321</v>
      </c>
    </row>
    <row r="202" spans="1:14" x14ac:dyDescent="0.25">
      <c r="A202" s="102">
        <v>39045</v>
      </c>
      <c r="B202">
        <v>27.832999999999998</v>
      </c>
      <c r="C202">
        <v>42.2</v>
      </c>
      <c r="D202">
        <v>62.667000000000002</v>
      </c>
      <c r="E202">
        <v>117.96899999999999</v>
      </c>
      <c r="F202">
        <v>5.24</v>
      </c>
      <c r="G202">
        <v>5.1580000000000004</v>
      </c>
      <c r="H202">
        <v>4.9375</v>
      </c>
      <c r="I202">
        <v>2.4270999999999998</v>
      </c>
      <c r="J202">
        <v>4.8490000000000002</v>
      </c>
      <c r="K202">
        <v>7.5831000710022689E-2</v>
      </c>
      <c r="L202" s="112">
        <f>VLOOKUP(A202,[3]RESUMEN!$A:$AE,31,1)</f>
        <v>7.6316159680948292E-2</v>
      </c>
      <c r="M202" s="113">
        <f>VLOOKUP(A202,[3]RESUMEN!$A:$AH,34,1)</f>
        <v>0.74020893119647813</v>
      </c>
      <c r="N202" s="113">
        <f>VLOOKUP(A202,[3]RESUMEN!$A:$AI,35,1)</f>
        <v>0.40826254543871321</v>
      </c>
    </row>
    <row r="203" spans="1:14" x14ac:dyDescent="0.25">
      <c r="A203" s="102">
        <v>39052</v>
      </c>
      <c r="B203">
        <v>28</v>
      </c>
      <c r="C203">
        <v>47.801000000000002</v>
      </c>
      <c r="D203">
        <v>69.688000000000002</v>
      </c>
      <c r="E203">
        <v>128.41</v>
      </c>
      <c r="F203">
        <v>5.27</v>
      </c>
      <c r="G203">
        <v>5.0060000000000002</v>
      </c>
      <c r="H203">
        <v>4.7415000000000003</v>
      </c>
      <c r="I203">
        <v>2.4270999999999998</v>
      </c>
      <c r="J203">
        <v>4.6684999999999999</v>
      </c>
      <c r="K203">
        <v>8.2887892805258101E-2</v>
      </c>
      <c r="L203" s="112">
        <f>VLOOKUP(A203,[3]RESUMEN!$A:$AE,31,1)</f>
        <v>7.6316159680948292E-2</v>
      </c>
      <c r="M203" s="113">
        <f>VLOOKUP(A203,[3]RESUMEN!$A:$AH,34,1)</f>
        <v>0.74020893119647813</v>
      </c>
      <c r="N203" s="113">
        <f>VLOOKUP(A203,[3]RESUMEN!$A:$AI,35,1)</f>
        <v>0.40826254543871321</v>
      </c>
    </row>
    <row r="204" spans="1:14" x14ac:dyDescent="0.25">
      <c r="A204" s="102">
        <v>39059</v>
      </c>
      <c r="B204">
        <v>27</v>
      </c>
      <c r="C204">
        <v>44.957999999999998</v>
      </c>
      <c r="D204">
        <v>66.875</v>
      </c>
      <c r="E204">
        <v>121.809</v>
      </c>
      <c r="F204">
        <v>5.25</v>
      </c>
      <c r="G204">
        <v>5.1535000000000002</v>
      </c>
      <c r="H204">
        <v>4.9119999999999999</v>
      </c>
      <c r="I204">
        <v>2.4270999999999998</v>
      </c>
      <c r="J204">
        <v>4.8324999999999996</v>
      </c>
      <c r="K204">
        <v>7.8767741639672817E-2</v>
      </c>
      <c r="L204" s="112">
        <f>VLOOKUP(A204,[3]RESUMEN!$A:$AE,31,1)</f>
        <v>7.6316159680948292E-2</v>
      </c>
      <c r="M204" s="113">
        <f>VLOOKUP(A204,[3]RESUMEN!$A:$AH,34,1)</f>
        <v>0.74020893119647813</v>
      </c>
      <c r="N204" s="113">
        <f>VLOOKUP(A204,[3]RESUMEN!$A:$AI,35,1)</f>
        <v>0.40826254543871321</v>
      </c>
    </row>
    <row r="205" spans="1:14" x14ac:dyDescent="0.25">
      <c r="A205" s="102">
        <v>39066</v>
      </c>
      <c r="B205">
        <v>25.35</v>
      </c>
      <c r="C205">
        <v>43.16</v>
      </c>
      <c r="D205">
        <v>63.542000000000002</v>
      </c>
      <c r="E205">
        <v>116.69199999999999</v>
      </c>
      <c r="F205">
        <v>5.27</v>
      </c>
      <c r="G205">
        <v>5.2050000000000001</v>
      </c>
      <c r="H205">
        <v>4.9604999999999997</v>
      </c>
      <c r="I205">
        <v>2.4270999999999998</v>
      </c>
      <c r="J205">
        <v>4.8719999999999999</v>
      </c>
      <c r="K205">
        <v>7.5571129819945293E-2</v>
      </c>
      <c r="L205" s="112">
        <f>VLOOKUP(A205,[3]RESUMEN!$A:$AE,31,1)</f>
        <v>7.6316159680948292E-2</v>
      </c>
      <c r="M205" s="113">
        <f>VLOOKUP(A205,[3]RESUMEN!$A:$AH,34,1)</f>
        <v>0.74020893119647813</v>
      </c>
      <c r="N205" s="113">
        <f>VLOOKUP(A205,[3]RESUMEN!$A:$AI,35,1)</f>
        <v>0.40826254543871321</v>
      </c>
    </row>
    <row r="206" spans="1:14" x14ac:dyDescent="0.25">
      <c r="A206" s="102">
        <v>39073</v>
      </c>
      <c r="B206">
        <v>25.082999999999998</v>
      </c>
      <c r="C206">
        <v>43.3</v>
      </c>
      <c r="D206">
        <v>62.167000000000002</v>
      </c>
      <c r="E206">
        <v>115.438</v>
      </c>
      <c r="F206">
        <v>5.24</v>
      </c>
      <c r="G206">
        <v>5.1914999999999996</v>
      </c>
      <c r="H206">
        <v>4.9634999999999998</v>
      </c>
      <c r="I206">
        <v>2.4270999999999998</v>
      </c>
      <c r="J206">
        <v>4.8810000000000002</v>
      </c>
      <c r="K206">
        <v>7.4844435810643484E-2</v>
      </c>
      <c r="L206" s="112">
        <f>VLOOKUP(A206,[3]RESUMEN!$A:$AE,31,1)</f>
        <v>7.6316159680948292E-2</v>
      </c>
      <c r="M206" s="113">
        <f>VLOOKUP(A206,[3]RESUMEN!$A:$AH,34,1)</f>
        <v>0.74020893119647813</v>
      </c>
      <c r="N206" s="113">
        <f>VLOOKUP(A206,[3]RESUMEN!$A:$AI,35,1)</f>
        <v>0.40826254543871321</v>
      </c>
    </row>
    <row r="207" spans="1:14" x14ac:dyDescent="0.25">
      <c r="A207" s="102">
        <v>39080</v>
      </c>
      <c r="B207">
        <v>24.786000000000001</v>
      </c>
      <c r="C207">
        <v>43.167000000000002</v>
      </c>
      <c r="D207">
        <v>62.429000000000002</v>
      </c>
      <c r="E207">
        <v>114.2</v>
      </c>
      <c r="F207">
        <v>5.17</v>
      </c>
      <c r="G207">
        <v>5.2489999999999997</v>
      </c>
      <c r="H207">
        <v>5.0594999999999999</v>
      </c>
      <c r="I207">
        <v>2.4270999999999998</v>
      </c>
      <c r="J207">
        <v>4.9874999999999998</v>
      </c>
      <c r="K207">
        <v>7.4124446028630442E-2</v>
      </c>
      <c r="L207" s="112">
        <f>VLOOKUP(A207,[3]RESUMEN!$A:$AE,31,1)</f>
        <v>7.6316159680948292E-2</v>
      </c>
      <c r="M207" s="113">
        <f>VLOOKUP(A207,[3]RESUMEN!$A:$AH,34,1)</f>
        <v>0.74020893119647813</v>
      </c>
      <c r="N207" s="113">
        <f>VLOOKUP(A207,[3]RESUMEN!$A:$AI,35,1)</f>
        <v>0.40826254543871321</v>
      </c>
    </row>
    <row r="208" spans="1:14" x14ac:dyDescent="0.25">
      <c r="A208" s="102">
        <v>39087</v>
      </c>
      <c r="B208">
        <v>24.75</v>
      </c>
      <c r="C208">
        <v>42.8</v>
      </c>
      <c r="D208">
        <v>62.75</v>
      </c>
      <c r="E208">
        <v>114.9</v>
      </c>
      <c r="F208">
        <v>5.21</v>
      </c>
      <c r="G208">
        <v>5.2039999999999997</v>
      </c>
      <c r="H208">
        <v>4.9894999999999996</v>
      </c>
      <c r="I208">
        <v>2.4270999999999998</v>
      </c>
      <c r="J208">
        <v>4.923</v>
      </c>
      <c r="K208">
        <v>7.4124446028630442E-2</v>
      </c>
      <c r="L208" s="112">
        <f>VLOOKUP(A208,[3]RESUMEN!$A:$AE,31,1)</f>
        <v>-5.6754649922236375E-2</v>
      </c>
      <c r="M208" s="113">
        <f>VLOOKUP(A208,[3]RESUMEN!$A:$AH,34,1)</f>
        <v>0.9876730019077381</v>
      </c>
      <c r="N208" s="113">
        <f>VLOOKUP(A208,[3]RESUMEN!$A:$AI,35,1)</f>
        <v>0.46545917599275088</v>
      </c>
    </row>
    <row r="209" spans="1:14" x14ac:dyDescent="0.25">
      <c r="A209" s="102">
        <v>39094</v>
      </c>
      <c r="B209">
        <v>25.547000000000001</v>
      </c>
      <c r="C209">
        <v>42.792000000000002</v>
      </c>
      <c r="D209">
        <v>61.609000000000002</v>
      </c>
      <c r="E209">
        <v>113.226</v>
      </c>
      <c r="F209">
        <v>5.22</v>
      </c>
      <c r="G209">
        <v>5.2880000000000003</v>
      </c>
      <c r="H209">
        <v>5.13</v>
      </c>
      <c r="I209">
        <v>2.4270999999999998</v>
      </c>
      <c r="J209">
        <v>5.0625</v>
      </c>
      <c r="K209">
        <v>7.3411104200395316E-2</v>
      </c>
      <c r="L209" s="112">
        <f>VLOOKUP(A209,[3]RESUMEN!$A:$AE,31,1)</f>
        <v>-5.6754649922236375E-2</v>
      </c>
      <c r="M209" s="113">
        <f>VLOOKUP(A209,[3]RESUMEN!$A:$AH,34,1)</f>
        <v>0.9876730019077381</v>
      </c>
      <c r="N209" s="113">
        <f>VLOOKUP(A209,[3]RESUMEN!$A:$AI,35,1)</f>
        <v>0.46545917599275088</v>
      </c>
    </row>
    <row r="210" spans="1:14" x14ac:dyDescent="0.25">
      <c r="A210" s="102">
        <v>39101</v>
      </c>
      <c r="B210">
        <v>25.457999999999998</v>
      </c>
      <c r="C210">
        <v>39.54</v>
      </c>
      <c r="D210">
        <v>57.982999999999997</v>
      </c>
      <c r="E210">
        <v>107</v>
      </c>
      <c r="F210">
        <v>5.25</v>
      </c>
      <c r="G210">
        <v>5.3140000000000001</v>
      </c>
      <c r="H210">
        <v>5.1624999999999996</v>
      </c>
      <c r="I210">
        <v>2.4270999999999998</v>
      </c>
      <c r="J210">
        <v>5.0715000000000003</v>
      </c>
      <c r="K210">
        <v>6.9477337559872177E-2</v>
      </c>
      <c r="L210" s="112">
        <f>VLOOKUP(A210,[3]RESUMEN!$A:$AE,31,1)</f>
        <v>-5.6754649922236375E-2</v>
      </c>
      <c r="M210" s="113">
        <f>VLOOKUP(A210,[3]RESUMEN!$A:$AH,34,1)</f>
        <v>0.9876730019077381</v>
      </c>
      <c r="N210" s="113">
        <f>VLOOKUP(A210,[3]RESUMEN!$A:$AI,35,1)</f>
        <v>0.46545917599275088</v>
      </c>
    </row>
    <row r="211" spans="1:14" x14ac:dyDescent="0.25">
      <c r="A211" s="102">
        <v>39108</v>
      </c>
      <c r="B211">
        <v>26.286000000000001</v>
      </c>
      <c r="C211">
        <v>45.167000000000002</v>
      </c>
      <c r="D211">
        <v>63.643000000000001</v>
      </c>
      <c r="E211">
        <v>113.167</v>
      </c>
      <c r="F211">
        <v>5.26</v>
      </c>
      <c r="G211">
        <v>5.3360000000000003</v>
      </c>
      <c r="H211">
        <v>5.2320000000000002</v>
      </c>
      <c r="I211">
        <v>2.4270999999999998</v>
      </c>
      <c r="J211">
        <v>5.1920000000000002</v>
      </c>
      <c r="K211">
        <v>7.3329017328614965E-2</v>
      </c>
      <c r="L211" s="112">
        <f>VLOOKUP(A211,[3]RESUMEN!$A:$AE,31,1)</f>
        <v>-5.6754649922236375E-2</v>
      </c>
      <c r="M211" s="113">
        <f>VLOOKUP(A211,[3]RESUMEN!$A:$AH,34,1)</f>
        <v>0.9876730019077381</v>
      </c>
      <c r="N211" s="113">
        <f>VLOOKUP(A211,[3]RESUMEN!$A:$AI,35,1)</f>
        <v>0.46545917599275088</v>
      </c>
    </row>
    <row r="212" spans="1:14" x14ac:dyDescent="0.25">
      <c r="A212" s="102">
        <v>39115</v>
      </c>
      <c r="B212">
        <v>26.213999999999999</v>
      </c>
      <c r="C212">
        <v>42.774000000000001</v>
      </c>
      <c r="D212">
        <v>59.429000000000002</v>
      </c>
      <c r="E212">
        <v>107.529</v>
      </c>
      <c r="F212">
        <v>5.24</v>
      </c>
      <c r="G212">
        <v>5.3209999999999997</v>
      </c>
      <c r="H212">
        <v>5.1859999999999999</v>
      </c>
      <c r="I212">
        <v>2.4270999999999998</v>
      </c>
      <c r="J212">
        <v>5.1284999999999998</v>
      </c>
      <c r="K212">
        <v>6.9791175265965233E-2</v>
      </c>
      <c r="L212" s="112">
        <f>VLOOKUP(A212,[3]RESUMEN!$A:$AE,31,1)</f>
        <v>-5.6754649922236375E-2</v>
      </c>
      <c r="M212" s="113">
        <f>VLOOKUP(A212,[3]RESUMEN!$A:$AH,34,1)</f>
        <v>0.9876730019077381</v>
      </c>
      <c r="N212" s="113">
        <f>VLOOKUP(A212,[3]RESUMEN!$A:$AI,35,1)</f>
        <v>0.46545917599275088</v>
      </c>
    </row>
    <row r="213" spans="1:14" x14ac:dyDescent="0.25">
      <c r="A213" s="102">
        <v>39122</v>
      </c>
      <c r="B213">
        <v>26.277999999999999</v>
      </c>
      <c r="C213">
        <v>41.95</v>
      </c>
      <c r="D213">
        <v>59.438000000000002</v>
      </c>
      <c r="E213">
        <v>106.876</v>
      </c>
      <c r="F213">
        <v>5.25</v>
      </c>
      <c r="G213">
        <v>5.3109999999999999</v>
      </c>
      <c r="H213">
        <v>5.17</v>
      </c>
      <c r="I213">
        <v>2.4270999999999998</v>
      </c>
      <c r="J213">
        <v>5.1025</v>
      </c>
      <c r="K213">
        <v>6.9791175265965233E-2</v>
      </c>
      <c r="L213" s="112">
        <f>VLOOKUP(A213,[3]RESUMEN!$A:$AE,31,1)</f>
        <v>-5.6754649922236375E-2</v>
      </c>
      <c r="M213" s="113">
        <f>VLOOKUP(A213,[3]RESUMEN!$A:$AH,34,1)</f>
        <v>0.9876730019077381</v>
      </c>
      <c r="N213" s="113">
        <f>VLOOKUP(A213,[3]RESUMEN!$A:$AI,35,1)</f>
        <v>0.46545917599275088</v>
      </c>
    </row>
    <row r="214" spans="1:14" x14ac:dyDescent="0.25">
      <c r="A214" s="102">
        <v>39129</v>
      </c>
      <c r="B214">
        <v>24.876000000000001</v>
      </c>
      <c r="C214">
        <v>38.917000000000002</v>
      </c>
      <c r="D214">
        <v>54.054000000000002</v>
      </c>
      <c r="E214">
        <v>99.9</v>
      </c>
      <c r="F214">
        <v>5.24</v>
      </c>
      <c r="G214">
        <v>5.2675000000000001</v>
      </c>
      <c r="H214">
        <v>5.0754999999999999</v>
      </c>
      <c r="I214">
        <v>2.4270999999999998</v>
      </c>
      <c r="J214">
        <v>4.9800000000000004</v>
      </c>
      <c r="K214">
        <v>6.4983212288943326E-2</v>
      </c>
      <c r="L214" s="112">
        <f>VLOOKUP(A214,[3]RESUMEN!$A:$AE,31,1)</f>
        <v>-5.6754649922236375E-2</v>
      </c>
      <c r="M214" s="113">
        <f>VLOOKUP(A214,[3]RESUMEN!$A:$AH,34,1)</f>
        <v>0.9876730019077381</v>
      </c>
      <c r="N214" s="113">
        <f>VLOOKUP(A214,[3]RESUMEN!$A:$AI,35,1)</f>
        <v>0.46545917599275088</v>
      </c>
    </row>
    <row r="215" spans="1:14" x14ac:dyDescent="0.25">
      <c r="A215" s="102">
        <v>39136</v>
      </c>
      <c r="B215">
        <v>24.228999999999999</v>
      </c>
      <c r="C215">
        <v>40.1</v>
      </c>
      <c r="D215">
        <v>54.813000000000002</v>
      </c>
      <c r="E215">
        <v>101.188</v>
      </c>
      <c r="F215">
        <v>5.24</v>
      </c>
      <c r="G215">
        <v>5.2655000000000003</v>
      </c>
      <c r="H215">
        <v>5.0739999999999998</v>
      </c>
      <c r="I215">
        <v>2.4270999999999998</v>
      </c>
      <c r="J215">
        <v>4.9729999999999999</v>
      </c>
      <c r="K215">
        <v>6.5611246488556429E-2</v>
      </c>
      <c r="L215" s="112">
        <f>VLOOKUP(A215,[3]RESUMEN!$A:$AE,31,1)</f>
        <v>-5.6754649922236375E-2</v>
      </c>
      <c r="M215" s="113">
        <f>VLOOKUP(A215,[3]RESUMEN!$A:$AH,34,1)</f>
        <v>0.9876730019077381</v>
      </c>
      <c r="N215" s="113">
        <f>VLOOKUP(A215,[3]RESUMEN!$A:$AI,35,1)</f>
        <v>0.46545917599275088</v>
      </c>
    </row>
    <row r="216" spans="1:14" x14ac:dyDescent="0.25">
      <c r="A216" s="102">
        <v>39143</v>
      </c>
      <c r="B216">
        <v>26.5</v>
      </c>
      <c r="C216">
        <v>48.542000000000002</v>
      </c>
      <c r="D216">
        <v>71.126000000000005</v>
      </c>
      <c r="E216">
        <v>119.825</v>
      </c>
      <c r="F216">
        <v>5.23</v>
      </c>
      <c r="G216">
        <v>5.0644999999999998</v>
      </c>
      <c r="H216">
        <v>4.8499999999999996</v>
      </c>
      <c r="I216">
        <v>2.4270999999999998</v>
      </c>
      <c r="J216">
        <v>4.819</v>
      </c>
      <c r="K216">
        <v>7.7464163628888305E-2</v>
      </c>
      <c r="L216" s="112">
        <f>VLOOKUP(A216,[3]RESUMEN!$A:$AE,31,1)</f>
        <v>-5.6754649922236375E-2</v>
      </c>
      <c r="M216" s="113">
        <f>VLOOKUP(A216,[3]RESUMEN!$A:$AH,34,1)</f>
        <v>0.9876730019077381</v>
      </c>
      <c r="N216" s="113">
        <f>VLOOKUP(A216,[3]RESUMEN!$A:$AI,35,1)</f>
        <v>0.46545917599275088</v>
      </c>
    </row>
    <row r="217" spans="1:14" x14ac:dyDescent="0.25">
      <c r="A217" s="102">
        <v>39150</v>
      </c>
      <c r="B217">
        <v>25.306000000000001</v>
      </c>
      <c r="C217">
        <v>42.136000000000003</v>
      </c>
      <c r="D217">
        <v>62.1</v>
      </c>
      <c r="E217">
        <v>106.54900000000001</v>
      </c>
      <c r="F217">
        <v>5.24</v>
      </c>
      <c r="G217">
        <v>5.17</v>
      </c>
      <c r="H217">
        <v>4.9625000000000004</v>
      </c>
      <c r="I217">
        <v>2.4270999999999998</v>
      </c>
      <c r="J217">
        <v>4.9089999999999998</v>
      </c>
      <c r="K217">
        <v>6.9245620186523249E-2</v>
      </c>
      <c r="L217" s="112">
        <f>VLOOKUP(A217,[3]RESUMEN!$A:$AE,31,1)</f>
        <v>-5.6754649922236375E-2</v>
      </c>
      <c r="M217" s="113">
        <f>VLOOKUP(A217,[3]RESUMEN!$A:$AH,34,1)</f>
        <v>0.9876730019077381</v>
      </c>
      <c r="N217" s="113">
        <f>VLOOKUP(A217,[3]RESUMEN!$A:$AI,35,1)</f>
        <v>0.46545917599275088</v>
      </c>
    </row>
    <row r="218" spans="1:14" x14ac:dyDescent="0.25">
      <c r="A218" s="102">
        <v>39157</v>
      </c>
      <c r="B218">
        <v>25.571000000000002</v>
      </c>
      <c r="C218">
        <v>44.024000000000001</v>
      </c>
      <c r="D218">
        <v>65.194000000000003</v>
      </c>
      <c r="E218">
        <v>110.65600000000001</v>
      </c>
      <c r="F218">
        <v>5.25</v>
      </c>
      <c r="G218">
        <v>5.1304999999999996</v>
      </c>
      <c r="H218">
        <v>4.8849999999999998</v>
      </c>
      <c r="I218">
        <v>2.4270999999999998</v>
      </c>
      <c r="J218">
        <v>4.8334999999999999</v>
      </c>
      <c r="K218">
        <v>7.1730827728807345E-2</v>
      </c>
      <c r="L218" s="112">
        <f>VLOOKUP(A218,[3]RESUMEN!$A:$AE,31,1)</f>
        <v>-5.6754649922236375E-2</v>
      </c>
      <c r="M218" s="113">
        <f>VLOOKUP(A218,[3]RESUMEN!$A:$AH,34,1)</f>
        <v>0.9876730019077381</v>
      </c>
      <c r="N218" s="113">
        <f>VLOOKUP(A218,[3]RESUMEN!$A:$AI,35,1)</f>
        <v>0.46545917599275088</v>
      </c>
    </row>
    <row r="219" spans="1:14" x14ac:dyDescent="0.25">
      <c r="A219" s="102">
        <v>39164</v>
      </c>
      <c r="B219">
        <v>23.943999999999999</v>
      </c>
      <c r="C219">
        <v>37.767000000000003</v>
      </c>
      <c r="D219">
        <v>56.610999999999997</v>
      </c>
      <c r="E219">
        <v>97.656999999999996</v>
      </c>
      <c r="F219">
        <v>5.24</v>
      </c>
      <c r="G219">
        <v>5.1464999999999996</v>
      </c>
      <c r="H219">
        <v>4.8979999999999997</v>
      </c>
      <c r="I219">
        <v>2.4270999999999998</v>
      </c>
      <c r="J219">
        <v>4.8730000000000002</v>
      </c>
      <c r="K219">
        <v>6.4099249030245331E-2</v>
      </c>
      <c r="L219" s="112">
        <f>VLOOKUP(A219,[3]RESUMEN!$A:$AE,31,1)</f>
        <v>-5.6754649922236375E-2</v>
      </c>
      <c r="M219" s="113">
        <f>VLOOKUP(A219,[3]RESUMEN!$A:$AH,34,1)</f>
        <v>0.9876730019077381</v>
      </c>
      <c r="N219" s="113">
        <f>VLOOKUP(A219,[3]RESUMEN!$A:$AI,35,1)</f>
        <v>0.46545917599275088</v>
      </c>
    </row>
    <row r="220" spans="1:14" x14ac:dyDescent="0.25">
      <c r="A220" s="102">
        <v>39171</v>
      </c>
      <c r="B220">
        <v>23.826999999999998</v>
      </c>
      <c r="C220">
        <v>37.054000000000002</v>
      </c>
      <c r="D220">
        <v>55.369</v>
      </c>
      <c r="E220">
        <v>95.677000000000007</v>
      </c>
      <c r="F220">
        <v>5.3</v>
      </c>
      <c r="G220">
        <v>5.13</v>
      </c>
      <c r="H220">
        <v>4.8855000000000004</v>
      </c>
      <c r="I220">
        <v>2.4270999999999998</v>
      </c>
      <c r="J220">
        <v>4.8879999999999999</v>
      </c>
      <c r="K220">
        <v>6.2283075589143477E-2</v>
      </c>
      <c r="L220" s="112">
        <f>VLOOKUP(A220,[3]RESUMEN!$A:$AE,31,1)</f>
        <v>-5.6754649922236375E-2</v>
      </c>
      <c r="M220" s="113">
        <f>VLOOKUP(A220,[3]RESUMEN!$A:$AH,34,1)</f>
        <v>0.9876730019077381</v>
      </c>
      <c r="N220" s="113">
        <f>VLOOKUP(A220,[3]RESUMEN!$A:$AI,35,1)</f>
        <v>0.46545917599275088</v>
      </c>
    </row>
    <row r="221" spans="1:14" x14ac:dyDescent="0.25">
      <c r="A221" s="102">
        <v>39178</v>
      </c>
      <c r="B221">
        <v>23.417999999999999</v>
      </c>
      <c r="C221">
        <v>36.5</v>
      </c>
      <c r="D221">
        <v>54.125</v>
      </c>
      <c r="E221">
        <v>93.123999999999995</v>
      </c>
      <c r="F221">
        <v>5.3</v>
      </c>
      <c r="G221">
        <v>5.2365000000000004</v>
      </c>
      <c r="H221">
        <v>5.0359999999999996</v>
      </c>
      <c r="I221">
        <v>2.4270999999999998</v>
      </c>
      <c r="J221">
        <v>5.0209999999999999</v>
      </c>
      <c r="K221">
        <v>6.0664184863367887E-2</v>
      </c>
      <c r="L221" s="112">
        <f>VLOOKUP(A221,[3]RESUMEN!$A:$AE,31,1)</f>
        <v>5.9102123389108835E-2</v>
      </c>
      <c r="M221" s="113">
        <f>VLOOKUP(A221,[3]RESUMEN!$A:$AH,34,1)</f>
        <v>0.95631163370212457</v>
      </c>
      <c r="N221" s="113">
        <f>VLOOKUP(A221,[3]RESUMEN!$A:$AI,35,1)</f>
        <v>0.50770687854561669</v>
      </c>
    </row>
    <row r="222" spans="1:14" x14ac:dyDescent="0.25">
      <c r="A222" s="102">
        <v>39185</v>
      </c>
      <c r="B222">
        <v>22.832999999999998</v>
      </c>
      <c r="C222">
        <v>35.033000000000001</v>
      </c>
      <c r="D222">
        <v>50.387999999999998</v>
      </c>
      <c r="E222">
        <v>90.37</v>
      </c>
      <c r="F222">
        <v>5.25</v>
      </c>
      <c r="G222">
        <v>5.2605000000000004</v>
      </c>
      <c r="H222">
        <v>5.0590000000000002</v>
      </c>
      <c r="I222">
        <v>2.4270999999999998</v>
      </c>
      <c r="J222">
        <v>5.0475000000000003</v>
      </c>
      <c r="K222">
        <v>5.8932607441625873E-2</v>
      </c>
      <c r="L222" s="112">
        <f>VLOOKUP(A222,[3]RESUMEN!$A:$AE,31,1)</f>
        <v>5.9102123389108835E-2</v>
      </c>
      <c r="M222" s="113">
        <f>VLOOKUP(A222,[3]RESUMEN!$A:$AH,34,1)</f>
        <v>0.95631163370212457</v>
      </c>
      <c r="N222" s="113">
        <f>VLOOKUP(A222,[3]RESUMEN!$A:$AI,35,1)</f>
        <v>0.50770687854561669</v>
      </c>
    </row>
    <row r="223" spans="1:14" x14ac:dyDescent="0.25">
      <c r="A223" s="102">
        <v>39192</v>
      </c>
      <c r="B223">
        <v>22.084</v>
      </c>
      <c r="C223">
        <v>30.565999999999999</v>
      </c>
      <c r="D223">
        <v>42.514000000000003</v>
      </c>
      <c r="E223">
        <v>77.453999999999994</v>
      </c>
      <c r="F223">
        <v>5.25</v>
      </c>
      <c r="G223">
        <v>5.1955</v>
      </c>
      <c r="H223">
        <v>4.9405000000000001</v>
      </c>
      <c r="I223">
        <v>2.4270999999999998</v>
      </c>
      <c r="J223">
        <v>4.9254999999999995</v>
      </c>
      <c r="K223">
        <v>5.0687139886131605E-2</v>
      </c>
      <c r="L223" s="112">
        <f>VLOOKUP(A223,[3]RESUMEN!$A:$AE,31,1)</f>
        <v>5.9102123389108835E-2</v>
      </c>
      <c r="M223" s="113">
        <f>VLOOKUP(A223,[3]RESUMEN!$A:$AH,34,1)</f>
        <v>0.95631163370212457</v>
      </c>
      <c r="N223" s="113">
        <f>VLOOKUP(A223,[3]RESUMEN!$A:$AI,35,1)</f>
        <v>0.50770687854561669</v>
      </c>
    </row>
    <row r="224" spans="1:14" x14ac:dyDescent="0.25">
      <c r="A224" s="102">
        <v>39199</v>
      </c>
      <c r="B224">
        <v>22.667000000000002</v>
      </c>
      <c r="C224">
        <v>35.380000000000003</v>
      </c>
      <c r="D224">
        <v>49.133000000000003</v>
      </c>
      <c r="E224">
        <v>84.9</v>
      </c>
      <c r="F224">
        <v>5.24</v>
      </c>
      <c r="G224">
        <v>5.2134999999999998</v>
      </c>
      <c r="H224">
        <v>4.9725000000000001</v>
      </c>
      <c r="I224">
        <v>2.4270999999999998</v>
      </c>
      <c r="J224">
        <v>4.96</v>
      </c>
      <c r="K224">
        <v>5.5429958278904179E-2</v>
      </c>
      <c r="L224" s="112">
        <f>VLOOKUP(A224,[3]RESUMEN!$A:$AE,31,1)</f>
        <v>5.9102123389108835E-2</v>
      </c>
      <c r="M224" s="113">
        <f>VLOOKUP(A224,[3]RESUMEN!$A:$AH,34,1)</f>
        <v>0.95631163370212457</v>
      </c>
      <c r="N224" s="113">
        <f>VLOOKUP(A224,[3]RESUMEN!$A:$AI,35,1)</f>
        <v>0.50770687854561669</v>
      </c>
    </row>
    <row r="225" spans="1:14" x14ac:dyDescent="0.25">
      <c r="A225" s="102">
        <v>39206</v>
      </c>
      <c r="B225">
        <v>21.75</v>
      </c>
      <c r="C225">
        <v>35.6</v>
      </c>
      <c r="D225">
        <v>50.45</v>
      </c>
      <c r="E225">
        <v>87.025000000000006</v>
      </c>
      <c r="F225">
        <v>5.24</v>
      </c>
      <c r="G225">
        <v>5.2145000000000001</v>
      </c>
      <c r="H225">
        <v>4.9755000000000003</v>
      </c>
      <c r="I225">
        <v>2.4270999999999998</v>
      </c>
      <c r="J225">
        <v>4.9249999999999998</v>
      </c>
      <c r="K225">
        <v>5.6795320845725139E-2</v>
      </c>
      <c r="L225" s="112">
        <f>VLOOKUP(A225,[3]RESUMEN!$A:$AE,31,1)</f>
        <v>5.9102123389108835E-2</v>
      </c>
      <c r="M225" s="113">
        <f>VLOOKUP(A225,[3]RESUMEN!$A:$AH,34,1)</f>
        <v>0.95631163370212457</v>
      </c>
      <c r="N225" s="113">
        <f>VLOOKUP(A225,[3]RESUMEN!$A:$AI,35,1)</f>
        <v>0.50770687854561669</v>
      </c>
    </row>
    <row r="226" spans="1:14" x14ac:dyDescent="0.25">
      <c r="A226" s="102">
        <v>39213</v>
      </c>
      <c r="B226">
        <v>21.466999999999999</v>
      </c>
      <c r="C226">
        <v>37.200000000000003</v>
      </c>
      <c r="D226">
        <v>52.667000000000002</v>
      </c>
      <c r="E226">
        <v>88.613</v>
      </c>
      <c r="F226">
        <v>5.27</v>
      </c>
      <c r="G226">
        <v>5.2329999999999997</v>
      </c>
      <c r="H226">
        <v>5.0170000000000003</v>
      </c>
      <c r="I226">
        <v>2.4270999999999998</v>
      </c>
      <c r="J226">
        <v>4.9630000000000001</v>
      </c>
      <c r="K226">
        <v>5.7346669983721954E-2</v>
      </c>
      <c r="L226" s="112">
        <f>VLOOKUP(A226,[3]RESUMEN!$A:$AE,31,1)</f>
        <v>5.9102123389108835E-2</v>
      </c>
      <c r="M226" s="113">
        <f>VLOOKUP(A226,[3]RESUMEN!$A:$AH,34,1)</f>
        <v>0.95631163370212457</v>
      </c>
      <c r="N226" s="113">
        <f>VLOOKUP(A226,[3]RESUMEN!$A:$AI,35,1)</f>
        <v>0.50770687854561669</v>
      </c>
    </row>
    <row r="227" spans="1:14" x14ac:dyDescent="0.25">
      <c r="A227" s="102">
        <v>39220</v>
      </c>
      <c r="B227">
        <v>21.117000000000001</v>
      </c>
      <c r="C227">
        <v>32.24</v>
      </c>
      <c r="D227">
        <v>45.417000000000002</v>
      </c>
      <c r="E227">
        <v>78.063000000000002</v>
      </c>
      <c r="F227">
        <v>5.24</v>
      </c>
      <c r="G227">
        <v>5.2750000000000004</v>
      </c>
      <c r="H227">
        <v>5.1280000000000001</v>
      </c>
      <c r="I227">
        <v>2.4270999999999998</v>
      </c>
      <c r="J227">
        <v>5.1115000000000004</v>
      </c>
      <c r="K227">
        <v>5.1203038098176168E-2</v>
      </c>
      <c r="L227" s="112">
        <f>VLOOKUP(A227,[3]RESUMEN!$A:$AE,31,1)</f>
        <v>5.9102123389108835E-2</v>
      </c>
      <c r="M227" s="113">
        <f>VLOOKUP(A227,[3]RESUMEN!$A:$AH,34,1)</f>
        <v>0.95631163370212457</v>
      </c>
      <c r="N227" s="113">
        <f>VLOOKUP(A227,[3]RESUMEN!$A:$AI,35,1)</f>
        <v>0.50770687854561669</v>
      </c>
    </row>
    <row r="228" spans="1:14" x14ac:dyDescent="0.25">
      <c r="A228" s="102">
        <v>39227</v>
      </c>
      <c r="B228">
        <v>21.808</v>
      </c>
      <c r="C228">
        <v>34.119999999999997</v>
      </c>
      <c r="D228">
        <v>47.383000000000003</v>
      </c>
      <c r="E228">
        <v>79.95</v>
      </c>
      <c r="F228">
        <v>5.29</v>
      </c>
      <c r="G228">
        <v>5.2830000000000004</v>
      </c>
      <c r="H228">
        <v>5.1704999999999997</v>
      </c>
      <c r="I228">
        <v>2.4270999999999998</v>
      </c>
      <c r="J228">
        <v>5.1749999999999998</v>
      </c>
      <c r="K228">
        <v>5.1701599042954238E-2</v>
      </c>
      <c r="L228" s="112">
        <f>VLOOKUP(A228,[3]RESUMEN!$A:$AE,31,1)</f>
        <v>5.9102123389108835E-2</v>
      </c>
      <c r="M228" s="113">
        <f>VLOOKUP(A228,[3]RESUMEN!$A:$AH,34,1)</f>
        <v>0.95631163370212457</v>
      </c>
      <c r="N228" s="113">
        <f>VLOOKUP(A228,[3]RESUMEN!$A:$AI,35,1)</f>
        <v>0.50770687854561669</v>
      </c>
    </row>
    <row r="229" spans="1:14" x14ac:dyDescent="0.25">
      <c r="A229" s="102">
        <v>39234</v>
      </c>
      <c r="B229">
        <v>21.417000000000002</v>
      </c>
      <c r="C229">
        <v>31.82</v>
      </c>
      <c r="D229">
        <v>43.683</v>
      </c>
      <c r="E229">
        <v>73.25</v>
      </c>
      <c r="F229">
        <v>5.23</v>
      </c>
      <c r="G229">
        <v>5.3574999999999999</v>
      </c>
      <c r="H229">
        <v>5.3019999999999996</v>
      </c>
      <c r="I229">
        <v>2.4270999999999998</v>
      </c>
      <c r="J229">
        <v>5.3239999999999998</v>
      </c>
      <c r="K229">
        <v>4.7965109123464522E-2</v>
      </c>
      <c r="L229" s="112">
        <f>VLOOKUP(A229,[3]RESUMEN!$A:$AE,31,1)</f>
        <v>5.9102123389108835E-2</v>
      </c>
      <c r="M229" s="113">
        <f>VLOOKUP(A229,[3]RESUMEN!$A:$AH,34,1)</f>
        <v>0.95631163370212457</v>
      </c>
      <c r="N229" s="113">
        <f>VLOOKUP(A229,[3]RESUMEN!$A:$AI,35,1)</f>
        <v>0.50770687854561669</v>
      </c>
    </row>
    <row r="230" spans="1:14" x14ac:dyDescent="0.25">
      <c r="A230" s="102">
        <v>39241</v>
      </c>
      <c r="B230">
        <v>22.4</v>
      </c>
      <c r="C230">
        <v>38.840000000000003</v>
      </c>
      <c r="D230">
        <v>50.75</v>
      </c>
      <c r="E230">
        <v>82.462999999999994</v>
      </c>
      <c r="F230">
        <v>5.26</v>
      </c>
      <c r="G230">
        <v>5.3659999999999997</v>
      </c>
      <c r="H230">
        <v>5.3410000000000002</v>
      </c>
      <c r="I230">
        <v>2.4270999999999998</v>
      </c>
      <c r="J230">
        <v>5.4690000000000003</v>
      </c>
      <c r="K230">
        <v>5.384274391635735E-2</v>
      </c>
      <c r="L230" s="112">
        <f>VLOOKUP(A230,[3]RESUMEN!$A:$AE,31,1)</f>
        <v>5.9102123389108835E-2</v>
      </c>
      <c r="M230" s="113">
        <f>VLOOKUP(A230,[3]RESUMEN!$A:$AH,34,1)</f>
        <v>0.95631163370212457</v>
      </c>
      <c r="N230" s="113">
        <f>VLOOKUP(A230,[3]RESUMEN!$A:$AI,35,1)</f>
        <v>0.50770687854561669</v>
      </c>
    </row>
    <row r="231" spans="1:14" x14ac:dyDescent="0.25">
      <c r="A231" s="102">
        <v>39248</v>
      </c>
      <c r="B231">
        <v>21.382999999999999</v>
      </c>
      <c r="C231">
        <v>33.1</v>
      </c>
      <c r="D231">
        <v>42.65</v>
      </c>
      <c r="E231">
        <v>67.813000000000002</v>
      </c>
      <c r="F231">
        <v>5.26</v>
      </c>
      <c r="G231">
        <v>5.3855000000000004</v>
      </c>
      <c r="H231">
        <v>5.3825000000000003</v>
      </c>
      <c r="I231">
        <v>2.4270999999999998</v>
      </c>
      <c r="J231">
        <v>5.5010000000000003</v>
      </c>
      <c r="K231">
        <v>4.4445765283257388E-2</v>
      </c>
      <c r="L231" s="112">
        <f>VLOOKUP(A231,[3]RESUMEN!$A:$AE,31,1)</f>
        <v>5.9102123389108835E-2</v>
      </c>
      <c r="M231" s="113">
        <f>VLOOKUP(A231,[3]RESUMEN!$A:$AH,34,1)</f>
        <v>0.95631163370212457</v>
      </c>
      <c r="N231" s="113">
        <f>VLOOKUP(A231,[3]RESUMEN!$A:$AI,35,1)</f>
        <v>0.50770687854561669</v>
      </c>
    </row>
    <row r="232" spans="1:14" x14ac:dyDescent="0.25">
      <c r="A232" s="102">
        <v>39255</v>
      </c>
      <c r="B232">
        <v>22.117000000000001</v>
      </c>
      <c r="C232">
        <v>35.700000000000003</v>
      </c>
      <c r="D232">
        <v>47.25</v>
      </c>
      <c r="E232">
        <v>72.55</v>
      </c>
      <c r="F232">
        <v>5.24</v>
      </c>
      <c r="G232">
        <v>5.319</v>
      </c>
      <c r="H232">
        <v>5.3025000000000002</v>
      </c>
      <c r="I232">
        <v>2.4270999999999998</v>
      </c>
      <c r="J232">
        <v>5.4630000000000001</v>
      </c>
      <c r="K232">
        <v>4.7482306504593175E-2</v>
      </c>
      <c r="L232" s="112">
        <f>VLOOKUP(A232,[3]RESUMEN!$A:$AE,31,1)</f>
        <v>5.9102123389108835E-2</v>
      </c>
      <c r="M232" s="113">
        <f>VLOOKUP(A232,[3]RESUMEN!$A:$AH,34,1)</f>
        <v>0.95631163370212457</v>
      </c>
      <c r="N232" s="113">
        <f>VLOOKUP(A232,[3]RESUMEN!$A:$AI,35,1)</f>
        <v>0.50770687854561669</v>
      </c>
    </row>
    <row r="233" spans="1:14" x14ac:dyDescent="0.25">
      <c r="A233" s="102">
        <v>39262</v>
      </c>
      <c r="B233">
        <v>23.582999999999998</v>
      </c>
      <c r="C233">
        <v>40.9</v>
      </c>
      <c r="D233">
        <v>54.933</v>
      </c>
      <c r="E233">
        <v>83.712999999999994</v>
      </c>
      <c r="F233">
        <v>5.31</v>
      </c>
      <c r="G233">
        <v>5.3105000000000002</v>
      </c>
      <c r="H233">
        <v>5.2625000000000002</v>
      </c>
      <c r="I233">
        <v>2.4270999999999998</v>
      </c>
      <c r="J233">
        <v>5.3884999999999996</v>
      </c>
      <c r="K233">
        <v>5.4611152150920939E-2</v>
      </c>
      <c r="L233" s="112">
        <f>VLOOKUP(A233,[3]RESUMEN!$A:$AE,31,1)</f>
        <v>5.9102123389108835E-2</v>
      </c>
      <c r="M233" s="113">
        <f>VLOOKUP(A233,[3]RESUMEN!$A:$AH,34,1)</f>
        <v>0.95631163370212457</v>
      </c>
      <c r="N233" s="113">
        <f>VLOOKUP(A233,[3]RESUMEN!$A:$AI,35,1)</f>
        <v>0.50770687854561669</v>
      </c>
    </row>
    <row r="234" spans="1:14" x14ac:dyDescent="0.25">
      <c r="A234" s="102">
        <v>39269</v>
      </c>
      <c r="B234">
        <v>24</v>
      </c>
      <c r="C234">
        <v>38.1</v>
      </c>
      <c r="D234">
        <v>51.332999999999998</v>
      </c>
      <c r="E234">
        <v>78.563000000000002</v>
      </c>
      <c r="F234">
        <v>5.22</v>
      </c>
      <c r="G234">
        <v>5.3739999999999997</v>
      </c>
      <c r="H234">
        <v>5.3718000000000004</v>
      </c>
      <c r="I234">
        <v>2.4270999999999998</v>
      </c>
      <c r="J234">
        <v>5.5454999999999997</v>
      </c>
      <c r="K234">
        <v>5.1329248052841336E-2</v>
      </c>
      <c r="L234" s="112">
        <f>VLOOKUP(A234,[3]RESUMEN!$A:$AE,31,1)</f>
        <v>9.5054669705854133E-2</v>
      </c>
      <c r="M234" s="113">
        <f>VLOOKUP(A234,[3]RESUMEN!$A:$AH,34,1)</f>
        <v>1.0215505922780264</v>
      </c>
      <c r="N234" s="113">
        <f>VLOOKUP(A234,[3]RESUMEN!$A:$AI,35,1)</f>
        <v>0.55830263099194022</v>
      </c>
    </row>
    <row r="235" spans="1:14" x14ac:dyDescent="0.25">
      <c r="A235" s="102">
        <v>39276</v>
      </c>
      <c r="B235">
        <v>25.417000000000002</v>
      </c>
      <c r="C235">
        <v>40.36</v>
      </c>
      <c r="D235">
        <v>54.45</v>
      </c>
      <c r="E235">
        <v>82.2</v>
      </c>
      <c r="F235">
        <v>5.25</v>
      </c>
      <c r="G235">
        <v>5.3445</v>
      </c>
      <c r="H235">
        <v>5.3150000000000004</v>
      </c>
      <c r="I235">
        <v>2.4270999999999998</v>
      </c>
      <c r="J235">
        <v>5.4740000000000002</v>
      </c>
      <c r="K235">
        <v>5.364318627131992E-2</v>
      </c>
      <c r="L235" s="112">
        <f>VLOOKUP(A235,[3]RESUMEN!$A:$AE,31,1)</f>
        <v>9.5054669705854133E-2</v>
      </c>
      <c r="M235" s="113">
        <f>VLOOKUP(A235,[3]RESUMEN!$A:$AH,34,1)</f>
        <v>1.0215505922780264</v>
      </c>
      <c r="N235" s="113">
        <f>VLOOKUP(A235,[3]RESUMEN!$A:$AI,35,1)</f>
        <v>0.55830263099194022</v>
      </c>
    </row>
    <row r="236" spans="1:14" x14ac:dyDescent="0.25">
      <c r="A236" s="102">
        <v>39283</v>
      </c>
      <c r="B236">
        <v>26.582999999999998</v>
      </c>
      <c r="C236">
        <v>45.3</v>
      </c>
      <c r="D236">
        <v>62.082999999999998</v>
      </c>
      <c r="E236">
        <v>93.85</v>
      </c>
      <c r="F236">
        <v>5.25</v>
      </c>
      <c r="G236">
        <v>5.2690000000000001</v>
      </c>
      <c r="H236">
        <v>5.1920000000000002</v>
      </c>
      <c r="I236">
        <v>2.4270999999999998</v>
      </c>
      <c r="J236">
        <v>5.3449999999999998</v>
      </c>
      <c r="K236">
        <v>6.104721249462175E-2</v>
      </c>
      <c r="L236" s="112">
        <f>VLOOKUP(A236,[3]RESUMEN!$A:$AE,31,1)</f>
        <v>9.5054669705854133E-2</v>
      </c>
      <c r="M236" s="113">
        <f>VLOOKUP(A236,[3]RESUMEN!$A:$AH,34,1)</f>
        <v>1.0215505922780264</v>
      </c>
      <c r="N236" s="113">
        <f>VLOOKUP(A236,[3]RESUMEN!$A:$AI,35,1)</f>
        <v>0.55830263099194022</v>
      </c>
    </row>
    <row r="237" spans="1:14" x14ac:dyDescent="0.25">
      <c r="A237" s="102">
        <v>39290</v>
      </c>
      <c r="B237">
        <v>48.832999999999998</v>
      </c>
      <c r="C237">
        <v>83.5</v>
      </c>
      <c r="D237">
        <v>115.833</v>
      </c>
      <c r="E237">
        <v>174</v>
      </c>
      <c r="F237">
        <v>5.25</v>
      </c>
      <c r="G237">
        <v>5.0780000000000003</v>
      </c>
      <c r="H237">
        <v>4.944</v>
      </c>
      <c r="I237">
        <v>2.4270999999999998</v>
      </c>
      <c r="J237">
        <v>5.1604999999999999</v>
      </c>
      <c r="K237">
        <v>0.110543718170524</v>
      </c>
      <c r="L237" s="112">
        <f>VLOOKUP(A237,[3]RESUMEN!$A:$AE,31,1)</f>
        <v>9.5054669705854133E-2</v>
      </c>
      <c r="M237" s="113">
        <f>VLOOKUP(A237,[3]RESUMEN!$A:$AH,34,1)</f>
        <v>1.0215505922780264</v>
      </c>
      <c r="N237" s="113">
        <f>VLOOKUP(A237,[3]RESUMEN!$A:$AI,35,1)</f>
        <v>0.55830263099194022</v>
      </c>
    </row>
    <row r="238" spans="1:14" x14ac:dyDescent="0.25">
      <c r="A238" s="102">
        <v>39297</v>
      </c>
      <c r="B238">
        <v>44.786000000000001</v>
      </c>
      <c r="C238">
        <v>68.117000000000004</v>
      </c>
      <c r="D238">
        <v>92.156999999999996</v>
      </c>
      <c r="E238">
        <v>137.28</v>
      </c>
      <c r="F238">
        <v>5.24</v>
      </c>
      <c r="G238">
        <v>4.968</v>
      </c>
      <c r="H238">
        <v>4.8609999999999998</v>
      </c>
      <c r="I238">
        <v>2.4270999999999998</v>
      </c>
      <c r="J238">
        <v>5.0439999999999996</v>
      </c>
      <c r="K238">
        <v>8.8107734523789394E-2</v>
      </c>
      <c r="L238" s="112">
        <f>VLOOKUP(A238,[3]RESUMEN!$A:$AE,31,1)</f>
        <v>9.5054669705854133E-2</v>
      </c>
      <c r="M238" s="113">
        <f>VLOOKUP(A238,[3]RESUMEN!$A:$AH,34,1)</f>
        <v>1.0215505922780264</v>
      </c>
      <c r="N238" s="113">
        <f>VLOOKUP(A238,[3]RESUMEN!$A:$AI,35,1)</f>
        <v>0.55830263099194022</v>
      </c>
    </row>
    <row r="239" spans="1:14" x14ac:dyDescent="0.25">
      <c r="A239" s="102">
        <v>39304</v>
      </c>
      <c r="B239">
        <v>45.512999999999998</v>
      </c>
      <c r="C239">
        <v>66.644999999999996</v>
      </c>
      <c r="D239">
        <v>90.655000000000001</v>
      </c>
      <c r="E239">
        <v>135.584</v>
      </c>
      <c r="F239">
        <v>4.68</v>
      </c>
      <c r="G239">
        <v>4.8940000000000001</v>
      </c>
      <c r="H239">
        <v>4.8520000000000003</v>
      </c>
      <c r="I239">
        <v>2.4270999999999998</v>
      </c>
      <c r="J239">
        <v>5.0884999999999998</v>
      </c>
      <c r="K239">
        <v>8.7266277054442898E-2</v>
      </c>
      <c r="L239" s="112">
        <f>VLOOKUP(A239,[3]RESUMEN!$A:$AE,31,1)</f>
        <v>9.5054669705854133E-2</v>
      </c>
      <c r="M239" s="113">
        <f>VLOOKUP(A239,[3]RESUMEN!$A:$AH,34,1)</f>
        <v>1.0215505922780264</v>
      </c>
      <c r="N239" s="113">
        <f>VLOOKUP(A239,[3]RESUMEN!$A:$AI,35,1)</f>
        <v>0.55830263099194022</v>
      </c>
    </row>
    <row r="240" spans="1:14" x14ac:dyDescent="0.25">
      <c r="A240" s="102">
        <v>39311</v>
      </c>
      <c r="B240">
        <v>53.984999999999999</v>
      </c>
      <c r="C240">
        <v>86.447999999999993</v>
      </c>
      <c r="D240">
        <v>117.79300000000001</v>
      </c>
      <c r="E240">
        <v>164.97</v>
      </c>
      <c r="F240">
        <v>4.91</v>
      </c>
      <c r="G240">
        <v>4.6273</v>
      </c>
      <c r="H240">
        <v>4.6399999999999997</v>
      </c>
      <c r="I240">
        <v>2.4270999999999998</v>
      </c>
      <c r="J240">
        <v>4.9370000000000003</v>
      </c>
      <c r="K240">
        <v>0.10497144107110612</v>
      </c>
      <c r="L240" s="112">
        <f>VLOOKUP(A240,[3]RESUMEN!$A:$AE,31,1)</f>
        <v>9.5054669705854133E-2</v>
      </c>
      <c r="M240" s="113">
        <f>VLOOKUP(A240,[3]RESUMEN!$A:$AH,34,1)</f>
        <v>1.0215505922780264</v>
      </c>
      <c r="N240" s="113">
        <f>VLOOKUP(A240,[3]RESUMEN!$A:$AI,35,1)</f>
        <v>0.55830263099194022</v>
      </c>
    </row>
    <row r="241" spans="1:14" x14ac:dyDescent="0.25">
      <c r="A241" s="102">
        <v>39318</v>
      </c>
      <c r="B241">
        <v>51.896000000000001</v>
      </c>
      <c r="C241">
        <v>71.813000000000002</v>
      </c>
      <c r="D241">
        <v>96.186000000000007</v>
      </c>
      <c r="E241">
        <v>136.89400000000001</v>
      </c>
      <c r="F241">
        <v>5.1100000000000003</v>
      </c>
      <c r="G241">
        <v>4.7640000000000002</v>
      </c>
      <c r="H241">
        <v>4.7308000000000003</v>
      </c>
      <c r="I241">
        <v>2.4270999999999998</v>
      </c>
      <c r="J241">
        <v>4.8920000000000003</v>
      </c>
      <c r="K241">
        <v>8.7831653003317967E-2</v>
      </c>
      <c r="L241" s="112">
        <f>VLOOKUP(A241,[3]RESUMEN!$A:$AE,31,1)</f>
        <v>9.5054669705854133E-2</v>
      </c>
      <c r="M241" s="113">
        <f>VLOOKUP(A241,[3]RESUMEN!$A:$AH,34,1)</f>
        <v>1.0215505922780264</v>
      </c>
      <c r="N241" s="113">
        <f>VLOOKUP(A241,[3]RESUMEN!$A:$AI,35,1)</f>
        <v>0.55830263099194022</v>
      </c>
    </row>
    <row r="242" spans="1:14" x14ac:dyDescent="0.25">
      <c r="A242" s="102">
        <v>39325</v>
      </c>
      <c r="B242">
        <v>53.994999999999997</v>
      </c>
      <c r="C242">
        <v>76.084000000000003</v>
      </c>
      <c r="D242">
        <v>101.236</v>
      </c>
      <c r="E242">
        <v>142.73599999999999</v>
      </c>
      <c r="F242">
        <v>4.96</v>
      </c>
      <c r="G242">
        <v>4.5265000000000004</v>
      </c>
      <c r="H242">
        <v>4.5940000000000003</v>
      </c>
      <c r="I242">
        <v>2.4270999999999998</v>
      </c>
      <c r="J242">
        <v>4.7690000000000001</v>
      </c>
      <c r="K242">
        <v>9.1428012307608664E-2</v>
      </c>
      <c r="L242" s="112">
        <f>VLOOKUP(A242,[3]RESUMEN!$A:$AE,31,1)</f>
        <v>9.5054669705854133E-2</v>
      </c>
      <c r="M242" s="113">
        <f>VLOOKUP(A242,[3]RESUMEN!$A:$AH,34,1)</f>
        <v>1.0215505922780264</v>
      </c>
      <c r="N242" s="113">
        <f>VLOOKUP(A242,[3]RESUMEN!$A:$AI,35,1)</f>
        <v>0.55830263099194022</v>
      </c>
    </row>
    <row r="243" spans="1:14" x14ac:dyDescent="0.25">
      <c r="A243" s="102">
        <v>39332</v>
      </c>
      <c r="B243">
        <v>55.247</v>
      </c>
      <c r="C243">
        <v>84.332999999999998</v>
      </c>
      <c r="D243">
        <v>107</v>
      </c>
      <c r="E243">
        <v>156.16</v>
      </c>
      <c r="F243">
        <v>4.8600000000000003</v>
      </c>
      <c r="G243">
        <v>4.3840000000000003</v>
      </c>
      <c r="H243">
        <v>4.3070000000000004</v>
      </c>
      <c r="I243">
        <v>2.4270999999999998</v>
      </c>
      <c r="J243">
        <v>4.508</v>
      </c>
      <c r="K243">
        <v>9.9658573943354423E-2</v>
      </c>
      <c r="L243" s="112">
        <f>VLOOKUP(A243,[3]RESUMEN!$A:$AE,31,1)</f>
        <v>9.5054669705854133E-2</v>
      </c>
      <c r="M243" s="113">
        <f>VLOOKUP(A243,[3]RESUMEN!$A:$AH,34,1)</f>
        <v>1.0215505922780264</v>
      </c>
      <c r="N243" s="113">
        <f>VLOOKUP(A243,[3]RESUMEN!$A:$AI,35,1)</f>
        <v>0.55830263099194022</v>
      </c>
    </row>
    <row r="244" spans="1:14" x14ac:dyDescent="0.25">
      <c r="A244" s="102">
        <v>39339</v>
      </c>
      <c r="B244">
        <v>51.5</v>
      </c>
      <c r="C244">
        <v>73</v>
      </c>
      <c r="D244">
        <v>96</v>
      </c>
      <c r="E244">
        <v>136.167</v>
      </c>
      <c r="F244">
        <v>5.25</v>
      </c>
      <c r="G244">
        <v>4.5179999999999998</v>
      </c>
      <c r="H244">
        <v>4.43</v>
      </c>
      <c r="I244">
        <v>2.4270999999999998</v>
      </c>
      <c r="J244">
        <v>4.6399999999999997</v>
      </c>
      <c r="K244">
        <v>8.738984780632153E-2</v>
      </c>
      <c r="L244" s="112">
        <f>VLOOKUP(A244,[3]RESUMEN!$A:$AE,31,1)</f>
        <v>9.5054669705854133E-2</v>
      </c>
      <c r="M244" s="113">
        <f>VLOOKUP(A244,[3]RESUMEN!$A:$AH,34,1)</f>
        <v>1.0215505922780264</v>
      </c>
      <c r="N244" s="113">
        <f>VLOOKUP(A244,[3]RESUMEN!$A:$AI,35,1)</f>
        <v>0.55830263099194022</v>
      </c>
    </row>
    <row r="245" spans="1:14" x14ac:dyDescent="0.25">
      <c r="A245" s="102">
        <v>39346</v>
      </c>
      <c r="B245">
        <v>47.67</v>
      </c>
      <c r="C245">
        <v>60.918999999999997</v>
      </c>
      <c r="D245">
        <v>76.984999999999999</v>
      </c>
      <c r="E245">
        <v>107.592</v>
      </c>
      <c r="F245">
        <v>4.76</v>
      </c>
      <c r="G245">
        <v>4.4160000000000004</v>
      </c>
      <c r="H245">
        <v>4.3890000000000002</v>
      </c>
      <c r="I245">
        <v>2.4270999999999998</v>
      </c>
      <c r="J245">
        <v>4.7240000000000002</v>
      </c>
      <c r="K245">
        <v>6.9579999852380947E-2</v>
      </c>
      <c r="L245" s="112">
        <f>VLOOKUP(A245,[3]RESUMEN!$A:$AE,31,1)</f>
        <v>9.5054669705854133E-2</v>
      </c>
      <c r="M245" s="113">
        <f>VLOOKUP(A245,[3]RESUMEN!$A:$AH,34,1)</f>
        <v>1.0215505922780264</v>
      </c>
      <c r="N245" s="113">
        <f>VLOOKUP(A245,[3]RESUMEN!$A:$AI,35,1)</f>
        <v>0.55830263099194022</v>
      </c>
    </row>
    <row r="246" spans="1:14" x14ac:dyDescent="0.25">
      <c r="A246" s="102">
        <v>39353</v>
      </c>
      <c r="B246">
        <v>44.33</v>
      </c>
      <c r="C246">
        <v>65.793999999999997</v>
      </c>
      <c r="D246">
        <v>81.025000000000006</v>
      </c>
      <c r="E246">
        <v>117.099</v>
      </c>
      <c r="F246">
        <v>4.58</v>
      </c>
      <c r="G246">
        <v>4.3979999999999997</v>
      </c>
      <c r="H246">
        <v>4.3250000000000002</v>
      </c>
      <c r="I246">
        <v>2.4270999999999998</v>
      </c>
      <c r="J246">
        <v>4.6630000000000003</v>
      </c>
      <c r="K246">
        <v>7.5571839418682396E-2</v>
      </c>
      <c r="L246" s="112">
        <f>VLOOKUP(A246,[3]RESUMEN!$A:$AE,31,1)</f>
        <v>9.5054669705854133E-2</v>
      </c>
      <c r="M246" s="113">
        <f>VLOOKUP(A246,[3]RESUMEN!$A:$AH,34,1)</f>
        <v>1.0215505922780264</v>
      </c>
      <c r="N246" s="113">
        <f>VLOOKUP(A246,[3]RESUMEN!$A:$AI,35,1)</f>
        <v>0.55830263099194022</v>
      </c>
    </row>
    <row r="247" spans="1:14" x14ac:dyDescent="0.25">
      <c r="A247" s="102">
        <v>39360</v>
      </c>
      <c r="B247">
        <v>43.929000000000002</v>
      </c>
      <c r="C247">
        <v>59.844999999999999</v>
      </c>
      <c r="D247">
        <v>76.566000000000003</v>
      </c>
      <c r="E247">
        <v>109.16500000000001</v>
      </c>
      <c r="F247">
        <v>4.7699999999999996</v>
      </c>
      <c r="G247">
        <v>4.5019999999999998</v>
      </c>
      <c r="H247">
        <v>4.4480000000000004</v>
      </c>
      <c r="I247">
        <v>2.4270999999999998</v>
      </c>
      <c r="J247">
        <v>4.7610000000000001</v>
      </c>
      <c r="K247">
        <v>7.0613167150119782E-2</v>
      </c>
      <c r="L247" s="112">
        <f>VLOOKUP(A247,[3]RESUMEN!$A:$AE,31,1)</f>
        <v>0.13814452561548668</v>
      </c>
      <c r="M247" s="113">
        <f>VLOOKUP(A247,[3]RESUMEN!$A:$AH,34,1)</f>
        <v>1.0805869413432609</v>
      </c>
      <c r="N247" s="113">
        <f>VLOOKUP(A247,[3]RESUMEN!$A:$AI,35,1)</f>
        <v>0.60936573347937384</v>
      </c>
    </row>
    <row r="248" spans="1:14" x14ac:dyDescent="0.25">
      <c r="A248" s="102">
        <v>39367</v>
      </c>
      <c r="B248">
        <v>41.911000000000001</v>
      </c>
      <c r="C248">
        <v>57.005000000000003</v>
      </c>
      <c r="D248">
        <v>71.680000000000007</v>
      </c>
      <c r="E248">
        <v>102.899</v>
      </c>
      <c r="F248">
        <v>4.75</v>
      </c>
      <c r="G248">
        <v>4.5905000000000005</v>
      </c>
      <c r="H248">
        <v>4.5620000000000003</v>
      </c>
      <c r="I248">
        <v>2.4270999999999998</v>
      </c>
      <c r="J248">
        <v>4.84</v>
      </c>
      <c r="K248">
        <v>6.668594043920073E-2</v>
      </c>
      <c r="L248" s="112">
        <f>VLOOKUP(A248,[3]RESUMEN!$A:$AE,31,1)</f>
        <v>0.13814452561548668</v>
      </c>
      <c r="M248" s="113">
        <f>VLOOKUP(A248,[3]RESUMEN!$A:$AH,34,1)</f>
        <v>1.0805869413432609</v>
      </c>
      <c r="N248" s="113">
        <f>VLOOKUP(A248,[3]RESUMEN!$A:$AI,35,1)</f>
        <v>0.60936573347937384</v>
      </c>
    </row>
    <row r="249" spans="1:14" x14ac:dyDescent="0.25">
      <c r="A249" s="102">
        <v>39374</v>
      </c>
      <c r="B249">
        <v>43</v>
      </c>
      <c r="C249">
        <v>71.332999999999998</v>
      </c>
      <c r="D249">
        <v>86.634</v>
      </c>
      <c r="E249">
        <v>126.279</v>
      </c>
      <c r="F249">
        <v>4.7699999999999996</v>
      </c>
      <c r="G249">
        <v>4.2370000000000001</v>
      </c>
      <c r="H249">
        <v>4.1689999999999996</v>
      </c>
      <c r="I249">
        <v>2.4270999999999998</v>
      </c>
      <c r="J249">
        <v>4.484</v>
      </c>
      <c r="K249">
        <v>8.1274612695573789E-2</v>
      </c>
      <c r="L249" s="112">
        <f>VLOOKUP(A249,[3]RESUMEN!$A:$AE,31,1)</f>
        <v>0.13814452561548668</v>
      </c>
      <c r="M249" s="113">
        <f>VLOOKUP(A249,[3]RESUMEN!$A:$AH,34,1)</f>
        <v>1.0805869413432609</v>
      </c>
      <c r="N249" s="113">
        <f>VLOOKUP(A249,[3]RESUMEN!$A:$AI,35,1)</f>
        <v>0.60936573347937384</v>
      </c>
    </row>
    <row r="250" spans="1:14" x14ac:dyDescent="0.25">
      <c r="A250" s="102">
        <v>39381</v>
      </c>
      <c r="B250">
        <v>44.66</v>
      </c>
      <c r="C250">
        <v>68.495000000000005</v>
      </c>
      <c r="D250">
        <v>87.570999999999998</v>
      </c>
      <c r="E250">
        <v>120.76600000000001</v>
      </c>
      <c r="F250">
        <v>4.8</v>
      </c>
      <c r="G250">
        <v>4.2009999999999996</v>
      </c>
      <c r="H250">
        <v>4.141</v>
      </c>
      <c r="I250">
        <v>2.4270999999999998</v>
      </c>
      <c r="J250">
        <v>4.4969999999999999</v>
      </c>
      <c r="K250">
        <v>7.7834579932601677E-2</v>
      </c>
      <c r="L250" s="112">
        <f>VLOOKUP(A250,[3]RESUMEN!$A:$AE,31,1)</f>
        <v>0.13814452561548668</v>
      </c>
      <c r="M250" s="113">
        <f>VLOOKUP(A250,[3]RESUMEN!$A:$AH,34,1)</f>
        <v>1.0805869413432609</v>
      </c>
      <c r="N250" s="113">
        <f>VLOOKUP(A250,[3]RESUMEN!$A:$AI,35,1)</f>
        <v>0.60936573347937384</v>
      </c>
    </row>
    <row r="251" spans="1:14" x14ac:dyDescent="0.25">
      <c r="A251" s="102">
        <v>39388</v>
      </c>
      <c r="B251">
        <v>61.116999999999997</v>
      </c>
      <c r="C251">
        <v>80.638999999999996</v>
      </c>
      <c r="D251">
        <v>98.117999999999995</v>
      </c>
      <c r="E251">
        <v>130.63499999999999</v>
      </c>
      <c r="F251">
        <v>4.28</v>
      </c>
      <c r="G251">
        <v>4.18</v>
      </c>
      <c r="H251">
        <v>4.1050000000000004</v>
      </c>
      <c r="I251">
        <v>2.4270999999999998</v>
      </c>
      <c r="J251">
        <v>4.4450000000000003</v>
      </c>
      <c r="K251">
        <v>8.3859459902913325E-2</v>
      </c>
      <c r="L251" s="112">
        <f>VLOOKUP(A251,[3]RESUMEN!$A:$AE,31,1)</f>
        <v>0.13814452561548668</v>
      </c>
      <c r="M251" s="113">
        <f>VLOOKUP(A251,[3]RESUMEN!$A:$AH,34,1)</f>
        <v>1.0805869413432609</v>
      </c>
      <c r="N251" s="113">
        <f>VLOOKUP(A251,[3]RESUMEN!$A:$AI,35,1)</f>
        <v>0.60936573347937384</v>
      </c>
    </row>
    <row r="252" spans="1:14" x14ac:dyDescent="0.25">
      <c r="A252" s="102">
        <v>39395</v>
      </c>
      <c r="B252">
        <v>51.625</v>
      </c>
      <c r="C252">
        <v>80.334999999999994</v>
      </c>
      <c r="D252">
        <v>101.5</v>
      </c>
      <c r="E252">
        <v>145.60400000000001</v>
      </c>
      <c r="F252">
        <v>4.49</v>
      </c>
      <c r="G252">
        <v>3.99</v>
      </c>
      <c r="H252">
        <v>3.9119999999999999</v>
      </c>
      <c r="I252">
        <v>2.4270999999999998</v>
      </c>
      <c r="J252">
        <v>4.3179999999999996</v>
      </c>
      <c r="K252">
        <v>9.2643546037107338E-2</v>
      </c>
      <c r="L252" s="112">
        <f>VLOOKUP(A252,[3]RESUMEN!$A:$AE,31,1)</f>
        <v>0.13814452561548668</v>
      </c>
      <c r="M252" s="113">
        <f>VLOOKUP(A252,[3]RESUMEN!$A:$AH,34,1)</f>
        <v>1.0805869413432609</v>
      </c>
      <c r="N252" s="113">
        <f>VLOOKUP(A252,[3]RESUMEN!$A:$AI,35,1)</f>
        <v>0.60936573347937384</v>
      </c>
    </row>
    <row r="253" spans="1:14" x14ac:dyDescent="0.25">
      <c r="A253" s="102">
        <v>39402</v>
      </c>
      <c r="B253">
        <v>57.31</v>
      </c>
      <c r="C253">
        <v>82.28</v>
      </c>
      <c r="D253">
        <v>103.389</v>
      </c>
      <c r="E253">
        <v>152.32</v>
      </c>
      <c r="F253">
        <v>4.51</v>
      </c>
      <c r="G253">
        <v>3.9529999999999998</v>
      </c>
      <c r="H253">
        <v>3.847</v>
      </c>
      <c r="I253">
        <v>2.4270999999999998</v>
      </c>
      <c r="J253">
        <v>4.2530000000000001</v>
      </c>
      <c r="K253">
        <v>9.7338403056230094E-2</v>
      </c>
      <c r="L253" s="112">
        <f>VLOOKUP(A253,[3]RESUMEN!$A:$AE,31,1)</f>
        <v>0.13814452561548668</v>
      </c>
      <c r="M253" s="113">
        <f>VLOOKUP(A253,[3]RESUMEN!$A:$AH,34,1)</f>
        <v>1.0805869413432609</v>
      </c>
      <c r="N253" s="113">
        <f>VLOOKUP(A253,[3]RESUMEN!$A:$AI,35,1)</f>
        <v>0.60936573347937384</v>
      </c>
    </row>
    <row r="254" spans="1:14" x14ac:dyDescent="0.25">
      <c r="A254" s="102">
        <v>39409</v>
      </c>
      <c r="B254">
        <v>67.239000000000004</v>
      </c>
      <c r="C254">
        <v>93.820999999999998</v>
      </c>
      <c r="D254">
        <v>118.666</v>
      </c>
      <c r="E254">
        <v>172.27699999999999</v>
      </c>
      <c r="F254">
        <v>4.5600000000000005</v>
      </c>
      <c r="G254">
        <v>3.7949999999999999</v>
      </c>
      <c r="H254">
        <v>3.65</v>
      </c>
      <c r="I254">
        <v>2.4270999999999998</v>
      </c>
      <c r="J254">
        <v>4.0860000000000003</v>
      </c>
      <c r="K254">
        <v>0.10941236456501124</v>
      </c>
      <c r="L254" s="112">
        <f>VLOOKUP(A254,[3]RESUMEN!$A:$AE,31,1)</f>
        <v>0.13814452561548668</v>
      </c>
      <c r="M254" s="113">
        <f>VLOOKUP(A254,[3]RESUMEN!$A:$AH,34,1)</f>
        <v>1.0805869413432609</v>
      </c>
      <c r="N254" s="113">
        <f>VLOOKUP(A254,[3]RESUMEN!$A:$AI,35,1)</f>
        <v>0.60936573347937384</v>
      </c>
    </row>
    <row r="255" spans="1:14" x14ac:dyDescent="0.25">
      <c r="A255" s="102">
        <v>39416</v>
      </c>
      <c r="B255">
        <v>65.603999999999999</v>
      </c>
      <c r="C255">
        <v>87.165000000000006</v>
      </c>
      <c r="D255">
        <v>102.64</v>
      </c>
      <c r="E255">
        <v>135.505</v>
      </c>
      <c r="F255">
        <v>4.66</v>
      </c>
      <c r="G255">
        <v>3.6840000000000002</v>
      </c>
      <c r="H255">
        <v>3.4859999999999998</v>
      </c>
      <c r="I255">
        <v>2.4270999999999998</v>
      </c>
      <c r="J255">
        <v>3.8860000000000001</v>
      </c>
      <c r="K255">
        <v>8.6786429731090187E-2</v>
      </c>
      <c r="L255" s="112">
        <f>VLOOKUP(A255,[3]RESUMEN!$A:$AE,31,1)</f>
        <v>0.13814452561548668</v>
      </c>
      <c r="M255" s="113">
        <f>VLOOKUP(A255,[3]RESUMEN!$A:$AH,34,1)</f>
        <v>1.0805869413432609</v>
      </c>
      <c r="N255" s="113">
        <f>VLOOKUP(A255,[3]RESUMEN!$A:$AI,35,1)</f>
        <v>0.60936573347937384</v>
      </c>
    </row>
    <row r="256" spans="1:14" x14ac:dyDescent="0.25">
      <c r="A256" s="102">
        <v>39423</v>
      </c>
      <c r="B256">
        <v>69.037000000000006</v>
      </c>
      <c r="C256">
        <v>84.302999999999997</v>
      </c>
      <c r="D256">
        <v>96.186000000000007</v>
      </c>
      <c r="E256">
        <v>122.23399999999999</v>
      </c>
      <c r="F256">
        <v>4.41</v>
      </c>
      <c r="G256">
        <v>3.7765</v>
      </c>
      <c r="H256">
        <v>3.63</v>
      </c>
      <c r="I256">
        <v>2.4270999999999998</v>
      </c>
      <c r="J256">
        <v>4.08</v>
      </c>
      <c r="K256">
        <v>7.8571238554968836E-2</v>
      </c>
      <c r="L256" s="112">
        <f>VLOOKUP(A256,[3]RESUMEN!$A:$AE,31,1)</f>
        <v>0.13814452561548668</v>
      </c>
      <c r="M256" s="113">
        <f>VLOOKUP(A256,[3]RESUMEN!$A:$AH,34,1)</f>
        <v>1.0805869413432609</v>
      </c>
      <c r="N256" s="113">
        <f>VLOOKUP(A256,[3]RESUMEN!$A:$AI,35,1)</f>
        <v>0.60936573347937384</v>
      </c>
    </row>
    <row r="257" spans="1:14" x14ac:dyDescent="0.25">
      <c r="A257" s="102">
        <v>39430</v>
      </c>
      <c r="B257">
        <v>53.994999999999997</v>
      </c>
      <c r="C257">
        <v>70.837999999999994</v>
      </c>
      <c r="D257">
        <v>88.173000000000002</v>
      </c>
      <c r="E257">
        <v>124.73399999999999</v>
      </c>
      <c r="F257">
        <v>4.24</v>
      </c>
      <c r="G257">
        <v>3.8890000000000002</v>
      </c>
      <c r="H257">
        <v>3.7749999999999999</v>
      </c>
      <c r="I257">
        <v>2.4270999999999998</v>
      </c>
      <c r="J257">
        <v>4.2210000000000001</v>
      </c>
      <c r="K257">
        <v>8.0296223800009447E-2</v>
      </c>
      <c r="L257" s="112">
        <f>VLOOKUP(A257,[3]RESUMEN!$A:$AE,31,1)</f>
        <v>0.13814452561548668</v>
      </c>
      <c r="M257" s="113">
        <f>VLOOKUP(A257,[3]RESUMEN!$A:$AH,34,1)</f>
        <v>1.0805869413432609</v>
      </c>
      <c r="N257" s="113">
        <f>VLOOKUP(A257,[3]RESUMEN!$A:$AI,35,1)</f>
        <v>0.60936573347937384</v>
      </c>
    </row>
    <row r="258" spans="1:14" x14ac:dyDescent="0.25">
      <c r="A258" s="102">
        <v>39437</v>
      </c>
      <c r="B258">
        <v>60.218000000000004</v>
      </c>
      <c r="C258">
        <v>74.295000000000002</v>
      </c>
      <c r="D258">
        <v>91.262</v>
      </c>
      <c r="E258">
        <v>128.73599999999999</v>
      </c>
      <c r="F258">
        <v>4.28</v>
      </c>
      <c r="G258">
        <v>3.7595000000000001</v>
      </c>
      <c r="H258">
        <v>3.6154999999999999</v>
      </c>
      <c r="I258">
        <v>2.4270999999999998</v>
      </c>
      <c r="J258">
        <v>4.0949999999999998</v>
      </c>
      <c r="K258">
        <v>8.2759453375263803E-2</v>
      </c>
      <c r="L258" s="112">
        <f>VLOOKUP(A258,[3]RESUMEN!$A:$AE,31,1)</f>
        <v>0.13814452561548668</v>
      </c>
      <c r="M258" s="113">
        <f>VLOOKUP(A258,[3]RESUMEN!$A:$AH,34,1)</f>
        <v>1.0805869413432609</v>
      </c>
      <c r="N258" s="113">
        <f>VLOOKUP(A258,[3]RESUMEN!$A:$AI,35,1)</f>
        <v>0.60936573347937384</v>
      </c>
    </row>
    <row r="259" spans="1:14" x14ac:dyDescent="0.25">
      <c r="A259" s="102">
        <v>39444</v>
      </c>
      <c r="B259">
        <v>57.570999999999998</v>
      </c>
      <c r="C259">
        <v>74.695999999999998</v>
      </c>
      <c r="D259">
        <v>90.155000000000001</v>
      </c>
      <c r="E259">
        <v>128.16499999999999</v>
      </c>
      <c r="F259">
        <v>4.01</v>
      </c>
      <c r="G259">
        <v>3.6764999999999999</v>
      </c>
      <c r="H259">
        <v>3.5095000000000001</v>
      </c>
      <c r="I259">
        <v>2.4270999999999998</v>
      </c>
      <c r="J259">
        <v>3.992</v>
      </c>
      <c r="K259">
        <v>8.2759453375263803E-2</v>
      </c>
      <c r="L259" s="112">
        <f>VLOOKUP(A259,[3]RESUMEN!$A:$AE,31,1)</f>
        <v>0.13814452561548668</v>
      </c>
      <c r="M259" s="113">
        <f>VLOOKUP(A259,[3]RESUMEN!$A:$AH,34,1)</f>
        <v>1.0805869413432609</v>
      </c>
      <c r="N259" s="113">
        <f>VLOOKUP(A259,[3]RESUMEN!$A:$AI,35,1)</f>
        <v>0.60936573347937384</v>
      </c>
    </row>
    <row r="260" spans="1:14" x14ac:dyDescent="0.25">
      <c r="A260" s="102">
        <v>39451</v>
      </c>
      <c r="B260">
        <v>66.236000000000004</v>
      </c>
      <c r="C260">
        <v>87.533000000000001</v>
      </c>
      <c r="D260">
        <v>108.038</v>
      </c>
      <c r="E260">
        <v>151.614</v>
      </c>
      <c r="F260">
        <v>4.18</v>
      </c>
      <c r="G260">
        <v>3.3689999999999998</v>
      </c>
      <c r="H260">
        <v>3.1619999999999999</v>
      </c>
      <c r="I260">
        <v>2.4270999999999998</v>
      </c>
      <c r="J260">
        <v>3.645</v>
      </c>
      <c r="K260">
        <v>9.6794706953427845E-2</v>
      </c>
      <c r="L260" s="112">
        <f>VLOOKUP(A260,[3]RESUMEN!$A:$AE,31,1)</f>
        <v>0.14709986405169112</v>
      </c>
      <c r="M260" s="113">
        <f>VLOOKUP(A260,[3]RESUMEN!$A:$AH,34,1)</f>
        <v>0.88509481087094788</v>
      </c>
      <c r="N260" s="113">
        <f>VLOOKUP(A260,[3]RESUMEN!$A:$AI,35,1)</f>
        <v>0.51609733746131947</v>
      </c>
    </row>
    <row r="261" spans="1:14" x14ac:dyDescent="0.25">
      <c r="A261" s="102">
        <v>39458</v>
      </c>
      <c r="B261">
        <v>64.212999999999994</v>
      </c>
      <c r="C261">
        <v>95.802000000000007</v>
      </c>
      <c r="D261">
        <v>120.97199999999999</v>
      </c>
      <c r="E261">
        <v>165.65199999999999</v>
      </c>
      <c r="F261">
        <v>4.2300000000000004</v>
      </c>
      <c r="G261">
        <v>3.0489999999999999</v>
      </c>
      <c r="H261">
        <v>2.9005000000000001</v>
      </c>
      <c r="I261">
        <v>2.4270999999999998</v>
      </c>
      <c r="J261">
        <v>3.472</v>
      </c>
      <c r="K261">
        <v>0.10530667560965379</v>
      </c>
      <c r="L261" s="112">
        <f>VLOOKUP(A261,[3]RESUMEN!$A:$AE,31,1)</f>
        <v>0.14709986405169112</v>
      </c>
      <c r="M261" s="113">
        <f>VLOOKUP(A261,[3]RESUMEN!$A:$AH,34,1)</f>
        <v>0.88509481087094788</v>
      </c>
      <c r="N261" s="113">
        <f>VLOOKUP(A261,[3]RESUMEN!$A:$AI,35,1)</f>
        <v>0.51609733746131947</v>
      </c>
    </row>
    <row r="262" spans="1:14" x14ac:dyDescent="0.25">
      <c r="A262" s="102">
        <v>39465</v>
      </c>
      <c r="B262">
        <v>75.593999999999994</v>
      </c>
      <c r="C262">
        <v>110.88800000000001</v>
      </c>
      <c r="D262">
        <v>140.624</v>
      </c>
      <c r="E262">
        <v>193.60900000000001</v>
      </c>
      <c r="F262">
        <v>4.17</v>
      </c>
      <c r="G262">
        <v>2.8449999999999998</v>
      </c>
      <c r="H262">
        <v>2.7349999999999999</v>
      </c>
      <c r="I262">
        <v>2.4270999999999998</v>
      </c>
      <c r="J262">
        <v>3.3180000000000001</v>
      </c>
      <c r="K262">
        <v>0.12207181954280066</v>
      </c>
      <c r="L262" s="112">
        <f>VLOOKUP(A262,[3]RESUMEN!$A:$AE,31,1)</f>
        <v>0.14709986405169112</v>
      </c>
      <c r="M262" s="113">
        <f>VLOOKUP(A262,[3]RESUMEN!$A:$AH,34,1)</f>
        <v>0.88509481087094788</v>
      </c>
      <c r="N262" s="113">
        <f>VLOOKUP(A262,[3]RESUMEN!$A:$AI,35,1)</f>
        <v>0.51609733746131947</v>
      </c>
    </row>
    <row r="263" spans="1:14" x14ac:dyDescent="0.25">
      <c r="A263" s="102">
        <v>39472</v>
      </c>
      <c r="B263">
        <v>73.150000000000006</v>
      </c>
      <c r="C263">
        <v>108.07899999999999</v>
      </c>
      <c r="D263">
        <v>135.62200000000001</v>
      </c>
      <c r="E263">
        <v>182.90600000000001</v>
      </c>
      <c r="F263">
        <v>3.6</v>
      </c>
      <c r="G263">
        <v>2.5425</v>
      </c>
      <c r="H263">
        <v>2.5868000000000002</v>
      </c>
      <c r="I263">
        <v>2.4270999999999998</v>
      </c>
      <c r="J263">
        <v>3.2549999999999999</v>
      </c>
      <c r="K263">
        <v>0.11564958604611408</v>
      </c>
      <c r="L263" s="112">
        <f>VLOOKUP(A263,[3]RESUMEN!$A:$AE,31,1)</f>
        <v>0.14709986405169112</v>
      </c>
      <c r="M263" s="113">
        <f>VLOOKUP(A263,[3]RESUMEN!$A:$AH,34,1)</f>
        <v>0.88509481087094788</v>
      </c>
      <c r="N263" s="113">
        <f>VLOOKUP(A263,[3]RESUMEN!$A:$AI,35,1)</f>
        <v>0.51609733746131947</v>
      </c>
    </row>
    <row r="264" spans="1:14" x14ac:dyDescent="0.25">
      <c r="A264" s="102">
        <v>39479</v>
      </c>
      <c r="B264">
        <v>74.355000000000004</v>
      </c>
      <c r="C264">
        <v>102.66500000000001</v>
      </c>
      <c r="D264">
        <v>128.66999999999999</v>
      </c>
      <c r="E264">
        <v>180.101</v>
      </c>
      <c r="F264">
        <v>3.12</v>
      </c>
      <c r="G264">
        <v>2.3769999999999998</v>
      </c>
      <c r="H264">
        <v>2.4864999999999999</v>
      </c>
      <c r="I264">
        <v>2.4270999999999998</v>
      </c>
      <c r="J264">
        <v>3.238</v>
      </c>
      <c r="K264">
        <v>0.11456203441952761</v>
      </c>
      <c r="L264" s="112">
        <f>VLOOKUP(A264,[3]RESUMEN!$A:$AE,31,1)</f>
        <v>0.14709986405169112</v>
      </c>
      <c r="M264" s="113">
        <f>VLOOKUP(A264,[3]RESUMEN!$A:$AH,34,1)</f>
        <v>0.88509481087094788</v>
      </c>
      <c r="N264" s="113">
        <f>VLOOKUP(A264,[3]RESUMEN!$A:$AI,35,1)</f>
        <v>0.51609733746131947</v>
      </c>
    </row>
    <row r="265" spans="1:14" x14ac:dyDescent="0.25">
      <c r="A265" s="102">
        <v>39486</v>
      </c>
      <c r="B265">
        <v>82.262</v>
      </c>
      <c r="C265">
        <v>121.07899999999999</v>
      </c>
      <c r="D265">
        <v>157.60400000000001</v>
      </c>
      <c r="E265">
        <v>216.495</v>
      </c>
      <c r="F265">
        <v>3.05</v>
      </c>
      <c r="G265">
        <v>2.198</v>
      </c>
      <c r="H265">
        <v>2.3639999999999999</v>
      </c>
      <c r="I265">
        <v>2.4270999999999998</v>
      </c>
      <c r="J265">
        <v>3.2519999999999998</v>
      </c>
      <c r="K265">
        <v>0.13558589924819309</v>
      </c>
      <c r="L265" s="112">
        <f>VLOOKUP(A265,[3]RESUMEN!$A:$AE,31,1)</f>
        <v>0.14709986405169112</v>
      </c>
      <c r="M265" s="113">
        <f>VLOOKUP(A265,[3]RESUMEN!$A:$AH,34,1)</f>
        <v>0.88509481087094788</v>
      </c>
      <c r="N265" s="113">
        <f>VLOOKUP(A265,[3]RESUMEN!$A:$AI,35,1)</f>
        <v>0.51609733746131947</v>
      </c>
    </row>
    <row r="266" spans="1:14" x14ac:dyDescent="0.25">
      <c r="A266" s="102">
        <v>39493</v>
      </c>
      <c r="B266">
        <v>77.674999999999997</v>
      </c>
      <c r="C266">
        <v>123.92100000000001</v>
      </c>
      <c r="D266">
        <v>151.256</v>
      </c>
      <c r="E266">
        <v>200.76400000000001</v>
      </c>
      <c r="F266">
        <v>2.9699999999999998</v>
      </c>
      <c r="G266">
        <v>2.1555</v>
      </c>
      <c r="H266">
        <v>2.3744999999999998</v>
      </c>
      <c r="I266">
        <v>2.4270999999999998</v>
      </c>
      <c r="J266">
        <v>3.4119999999999999</v>
      </c>
      <c r="K266">
        <v>0.12620616183933842</v>
      </c>
      <c r="L266" s="112">
        <f>VLOOKUP(A266,[3]RESUMEN!$A:$AE,31,1)</f>
        <v>0.14709986405169112</v>
      </c>
      <c r="M266" s="113">
        <f>VLOOKUP(A266,[3]RESUMEN!$A:$AH,34,1)</f>
        <v>0.88509481087094788</v>
      </c>
      <c r="N266" s="113">
        <f>VLOOKUP(A266,[3]RESUMEN!$A:$AI,35,1)</f>
        <v>0.51609733746131947</v>
      </c>
    </row>
    <row r="267" spans="1:14" x14ac:dyDescent="0.25">
      <c r="A267" s="102">
        <v>39500</v>
      </c>
      <c r="B267">
        <v>79.010000000000005</v>
      </c>
      <c r="C267">
        <v>111.982</v>
      </c>
      <c r="D267">
        <v>142.68</v>
      </c>
      <c r="E267">
        <v>193.137</v>
      </c>
      <c r="F267">
        <v>2.9699999999999998</v>
      </c>
      <c r="G267">
        <v>2.3050000000000002</v>
      </c>
      <c r="H267">
        <v>2.52</v>
      </c>
      <c r="I267">
        <v>2.4270999999999998</v>
      </c>
      <c r="J267">
        <v>3.4849999999999999</v>
      </c>
      <c r="K267">
        <v>0.1217673141471054</v>
      </c>
      <c r="L267" s="112">
        <f>VLOOKUP(A267,[3]RESUMEN!$A:$AE,31,1)</f>
        <v>0.14709986405169112</v>
      </c>
      <c r="M267" s="113">
        <f>VLOOKUP(A267,[3]RESUMEN!$A:$AH,34,1)</f>
        <v>0.88509481087094788</v>
      </c>
      <c r="N267" s="113">
        <f>VLOOKUP(A267,[3]RESUMEN!$A:$AI,35,1)</f>
        <v>0.51609733746131947</v>
      </c>
    </row>
    <row r="268" spans="1:14" x14ac:dyDescent="0.25">
      <c r="A268" s="102">
        <v>39507</v>
      </c>
      <c r="B268">
        <v>76.375</v>
      </c>
      <c r="C268">
        <v>113.08799999999999</v>
      </c>
      <c r="D268">
        <v>143.5</v>
      </c>
      <c r="E268">
        <v>194.07499999999999</v>
      </c>
      <c r="F268">
        <v>3.01</v>
      </c>
      <c r="G268">
        <v>1.9275</v>
      </c>
      <c r="H268">
        <v>2.0834999999999999</v>
      </c>
      <c r="I268">
        <v>2.4270999999999998</v>
      </c>
      <c r="J268">
        <v>3.0619999999999998</v>
      </c>
      <c r="K268">
        <v>0.1217673141471054</v>
      </c>
      <c r="L268" s="112">
        <f>VLOOKUP(A268,[3]RESUMEN!$A:$AE,31,1)</f>
        <v>0.14709986405169112</v>
      </c>
      <c r="M268" s="113">
        <f>VLOOKUP(A268,[3]RESUMEN!$A:$AH,34,1)</f>
        <v>0.88509481087094788</v>
      </c>
      <c r="N268" s="113">
        <f>VLOOKUP(A268,[3]RESUMEN!$A:$AI,35,1)</f>
        <v>0.51609733746131947</v>
      </c>
    </row>
    <row r="269" spans="1:14" x14ac:dyDescent="0.25">
      <c r="A269" s="102">
        <v>39514</v>
      </c>
      <c r="B269">
        <v>109</v>
      </c>
      <c r="C269">
        <v>146</v>
      </c>
      <c r="D269">
        <v>174</v>
      </c>
      <c r="E269">
        <v>223.749</v>
      </c>
      <c r="F269">
        <v>2.96</v>
      </c>
      <c r="G269">
        <v>1.8885000000000001</v>
      </c>
      <c r="H269">
        <v>2.1034999999999999</v>
      </c>
      <c r="I269">
        <v>2.4270999999999998</v>
      </c>
      <c r="J269">
        <v>3.218</v>
      </c>
      <c r="K269">
        <v>0.13952040114088737</v>
      </c>
      <c r="L269" s="112">
        <f>VLOOKUP(A269,[3]RESUMEN!$A:$AE,31,1)</f>
        <v>0.14709986405169112</v>
      </c>
      <c r="M269" s="113">
        <f>VLOOKUP(A269,[3]RESUMEN!$A:$AH,34,1)</f>
        <v>0.88509481087094788</v>
      </c>
      <c r="N269" s="113">
        <f>VLOOKUP(A269,[3]RESUMEN!$A:$AI,35,1)</f>
        <v>0.51609733746131947</v>
      </c>
    </row>
    <row r="270" spans="1:14" x14ac:dyDescent="0.25">
      <c r="A270" s="102">
        <v>39521</v>
      </c>
      <c r="B270">
        <v>108</v>
      </c>
      <c r="C270">
        <v>152</v>
      </c>
      <c r="D270">
        <v>184</v>
      </c>
      <c r="E270">
        <v>237.703</v>
      </c>
      <c r="F270">
        <v>2.99</v>
      </c>
      <c r="G270">
        <v>1.6995</v>
      </c>
      <c r="H270">
        <v>1.919</v>
      </c>
      <c r="I270">
        <v>2.4270999999999998</v>
      </c>
      <c r="J270">
        <v>2.9950000000000001</v>
      </c>
      <c r="K270">
        <v>0.1476567418523167</v>
      </c>
      <c r="L270" s="112">
        <f>VLOOKUP(A270,[3]RESUMEN!$A:$AE,31,1)</f>
        <v>0.14709986405169112</v>
      </c>
      <c r="M270" s="113">
        <f>VLOOKUP(A270,[3]RESUMEN!$A:$AH,34,1)</f>
        <v>0.88509481087094788</v>
      </c>
      <c r="N270" s="113">
        <f>VLOOKUP(A270,[3]RESUMEN!$A:$AI,35,1)</f>
        <v>0.51609733746131947</v>
      </c>
    </row>
    <row r="271" spans="1:14" x14ac:dyDescent="0.25">
      <c r="A271" s="102">
        <v>39528</v>
      </c>
      <c r="B271">
        <v>100.825</v>
      </c>
      <c r="C271">
        <v>138.976</v>
      </c>
      <c r="D271">
        <v>162.33500000000001</v>
      </c>
      <c r="E271">
        <v>216.52799999999999</v>
      </c>
      <c r="F271">
        <v>2.08</v>
      </c>
      <c r="G271">
        <v>1.8754999999999999</v>
      </c>
      <c r="H271">
        <v>2.0739999999999998</v>
      </c>
      <c r="I271">
        <v>2.4270999999999998</v>
      </c>
      <c r="J271">
        <v>2.9889999999999999</v>
      </c>
      <c r="K271">
        <v>0.13539693178631196</v>
      </c>
      <c r="L271" s="112">
        <f>VLOOKUP(A271,[3]RESUMEN!$A:$AE,31,1)</f>
        <v>0.14709986405169112</v>
      </c>
      <c r="M271" s="113">
        <f>VLOOKUP(A271,[3]RESUMEN!$A:$AH,34,1)</f>
        <v>0.88509481087094788</v>
      </c>
      <c r="N271" s="113">
        <f>VLOOKUP(A271,[3]RESUMEN!$A:$AI,35,1)</f>
        <v>0.51609733746131947</v>
      </c>
    </row>
    <row r="272" spans="1:14" x14ac:dyDescent="0.25">
      <c r="A272" s="102">
        <v>39535</v>
      </c>
      <c r="B272">
        <v>94.522000000000006</v>
      </c>
      <c r="C272">
        <v>131.685</v>
      </c>
      <c r="D272">
        <v>160.47499999999999</v>
      </c>
      <c r="E272">
        <v>207.749</v>
      </c>
      <c r="F272">
        <v>2.09</v>
      </c>
      <c r="G272">
        <v>1.8385</v>
      </c>
      <c r="H272">
        <v>2.0834999999999999</v>
      </c>
      <c r="I272">
        <v>2.4270999999999998</v>
      </c>
      <c r="J272">
        <v>3.0920000000000001</v>
      </c>
      <c r="K272">
        <v>0.1302372795576483</v>
      </c>
      <c r="L272" s="112">
        <f>VLOOKUP(A272,[3]RESUMEN!$A:$AE,31,1)</f>
        <v>0.14709986405169112</v>
      </c>
      <c r="M272" s="113">
        <f>VLOOKUP(A272,[3]RESUMEN!$A:$AH,34,1)</f>
        <v>0.88509481087094788</v>
      </c>
      <c r="N272" s="113">
        <f>VLOOKUP(A272,[3]RESUMEN!$A:$AI,35,1)</f>
        <v>0.51609733746131947</v>
      </c>
    </row>
    <row r="273" spans="1:14" x14ac:dyDescent="0.25">
      <c r="A273" s="102">
        <v>39542</v>
      </c>
      <c r="B273">
        <v>85</v>
      </c>
      <c r="C273">
        <v>112.333</v>
      </c>
      <c r="D273">
        <v>137.667</v>
      </c>
      <c r="E273">
        <v>186.70099999999999</v>
      </c>
      <c r="F273">
        <v>2.2599999999999998</v>
      </c>
      <c r="G273">
        <v>1.877</v>
      </c>
      <c r="H273">
        <v>2.1974999999999998</v>
      </c>
      <c r="I273">
        <v>2.4270999999999998</v>
      </c>
      <c r="J273">
        <v>3.149</v>
      </c>
      <c r="K273">
        <v>0.11786755343938848</v>
      </c>
      <c r="L273" s="112">
        <f>VLOOKUP(A273,[3]RESUMEN!$A:$AE,31,1)</f>
        <v>0.30524471313046664</v>
      </c>
      <c r="M273" s="113">
        <f>VLOOKUP(A273,[3]RESUMEN!$A:$AH,34,1)</f>
        <v>0.45298214602960035</v>
      </c>
      <c r="N273" s="113">
        <f>VLOOKUP(A273,[3]RESUMEN!$A:$AI,35,1)</f>
        <v>0.37911342958003347</v>
      </c>
    </row>
    <row r="274" spans="1:14" x14ac:dyDescent="0.25">
      <c r="A274" s="102">
        <v>39549</v>
      </c>
      <c r="B274">
        <v>79.010000000000005</v>
      </c>
      <c r="C274">
        <v>112.46899999999999</v>
      </c>
      <c r="D274">
        <v>134.69800000000001</v>
      </c>
      <c r="E274">
        <v>186.571</v>
      </c>
      <c r="F274">
        <v>2.37</v>
      </c>
      <c r="G274">
        <v>1.8395000000000001</v>
      </c>
      <c r="H274">
        <v>2.1120000000000001</v>
      </c>
      <c r="I274">
        <v>2.4270999999999998</v>
      </c>
      <c r="J274">
        <v>3.097</v>
      </c>
      <c r="K274">
        <v>0.11786755343938848</v>
      </c>
      <c r="L274" s="112">
        <f>VLOOKUP(A274,[3]RESUMEN!$A:$AE,31,1)</f>
        <v>0.30524471313046664</v>
      </c>
      <c r="M274" s="113">
        <f>VLOOKUP(A274,[3]RESUMEN!$A:$AH,34,1)</f>
        <v>0.45298214602960035</v>
      </c>
      <c r="N274" s="113">
        <f>VLOOKUP(A274,[3]RESUMEN!$A:$AI,35,1)</f>
        <v>0.37911342958003347</v>
      </c>
    </row>
    <row r="275" spans="1:14" x14ac:dyDescent="0.25">
      <c r="A275" s="102">
        <v>39556</v>
      </c>
      <c r="B275">
        <v>64.712999999999994</v>
      </c>
      <c r="C275">
        <v>86.655000000000001</v>
      </c>
      <c r="D275">
        <v>110.041</v>
      </c>
      <c r="E275">
        <v>150.70099999999999</v>
      </c>
      <c r="F275">
        <v>2.3199999999999998</v>
      </c>
      <c r="G275">
        <v>2.0790000000000002</v>
      </c>
      <c r="H275">
        <v>2.4390000000000001</v>
      </c>
      <c r="I275">
        <v>2.4270999999999998</v>
      </c>
      <c r="J275">
        <v>3.399</v>
      </c>
      <c r="K275">
        <v>9.6192858301035411E-2</v>
      </c>
      <c r="L275" s="112">
        <f>VLOOKUP(A275,[3]RESUMEN!$A:$AE,31,1)</f>
        <v>0.30524471313046664</v>
      </c>
      <c r="M275" s="113">
        <f>VLOOKUP(A275,[3]RESUMEN!$A:$AH,34,1)</f>
        <v>0.45298214602960035</v>
      </c>
      <c r="N275" s="113">
        <f>VLOOKUP(A275,[3]RESUMEN!$A:$AI,35,1)</f>
        <v>0.37911342958003347</v>
      </c>
    </row>
    <row r="276" spans="1:14" x14ac:dyDescent="0.25">
      <c r="A276" s="102">
        <v>39563</v>
      </c>
      <c r="B276">
        <v>63.837000000000003</v>
      </c>
      <c r="C276">
        <v>84.756</v>
      </c>
      <c r="D276">
        <v>106.47499999999999</v>
      </c>
      <c r="E276">
        <v>152.333</v>
      </c>
      <c r="F276">
        <v>2.2800000000000002</v>
      </c>
      <c r="G276">
        <v>2.2429999999999999</v>
      </c>
      <c r="H276">
        <v>2.7039999999999997</v>
      </c>
      <c r="I276">
        <v>2.4270999999999998</v>
      </c>
      <c r="J276">
        <v>3.5990000000000002</v>
      </c>
      <c r="K276">
        <v>9.7106500235032422E-2</v>
      </c>
      <c r="L276" s="112">
        <f>VLOOKUP(A276,[3]RESUMEN!$A:$AE,31,1)</f>
        <v>0.30524471313046664</v>
      </c>
      <c r="M276" s="113">
        <f>VLOOKUP(A276,[3]RESUMEN!$A:$AH,34,1)</f>
        <v>0.45298214602960035</v>
      </c>
      <c r="N276" s="113">
        <f>VLOOKUP(A276,[3]RESUMEN!$A:$AI,35,1)</f>
        <v>0.37911342958003347</v>
      </c>
    </row>
    <row r="277" spans="1:14" x14ac:dyDescent="0.25">
      <c r="A277" s="102">
        <v>39570</v>
      </c>
      <c r="B277">
        <v>57.344999999999999</v>
      </c>
      <c r="C277">
        <v>77.873000000000005</v>
      </c>
      <c r="D277">
        <v>97.599000000000004</v>
      </c>
      <c r="E277">
        <v>139.90600000000001</v>
      </c>
      <c r="F277">
        <v>1.88</v>
      </c>
      <c r="G277">
        <v>2.1920000000000002</v>
      </c>
      <c r="H277">
        <v>2.7090000000000001</v>
      </c>
      <c r="I277">
        <v>2.4270999999999998</v>
      </c>
      <c r="J277">
        <v>3.5960000000000001</v>
      </c>
      <c r="K277">
        <v>8.9672078944129319E-2</v>
      </c>
      <c r="L277" s="112">
        <f>VLOOKUP(A277,[3]RESUMEN!$A:$AE,31,1)</f>
        <v>0.30524471313046664</v>
      </c>
      <c r="M277" s="113">
        <f>VLOOKUP(A277,[3]RESUMEN!$A:$AH,34,1)</f>
        <v>0.45298214602960035</v>
      </c>
      <c r="N277" s="113">
        <f>VLOOKUP(A277,[3]RESUMEN!$A:$AI,35,1)</f>
        <v>0.37911342958003347</v>
      </c>
    </row>
    <row r="278" spans="1:14" x14ac:dyDescent="0.25">
      <c r="A278" s="102">
        <v>39577</v>
      </c>
      <c r="B278">
        <v>56.204999999999998</v>
      </c>
      <c r="C278">
        <v>80.17</v>
      </c>
      <c r="D278">
        <v>102</v>
      </c>
      <c r="E278">
        <v>146.12700000000001</v>
      </c>
      <c r="F278">
        <v>1.97</v>
      </c>
      <c r="G278">
        <v>2.1242999999999999</v>
      </c>
      <c r="H278">
        <v>2.5505</v>
      </c>
      <c r="I278">
        <v>2.4270999999999998</v>
      </c>
      <c r="J278">
        <v>3.4580000000000002</v>
      </c>
      <c r="K278">
        <v>9.3506106619011042E-2</v>
      </c>
      <c r="L278" s="112">
        <f>VLOOKUP(A278,[3]RESUMEN!$A:$AE,31,1)</f>
        <v>0.30524471313046664</v>
      </c>
      <c r="M278" s="113">
        <f>VLOOKUP(A278,[3]RESUMEN!$A:$AH,34,1)</f>
        <v>0.45298214602960035</v>
      </c>
      <c r="N278" s="113">
        <f>VLOOKUP(A278,[3]RESUMEN!$A:$AI,35,1)</f>
        <v>0.37911342958003347</v>
      </c>
    </row>
    <row r="279" spans="1:14" x14ac:dyDescent="0.25">
      <c r="A279" s="102">
        <v>39584</v>
      </c>
      <c r="B279">
        <v>47.68</v>
      </c>
      <c r="C279">
        <v>69.933999999999997</v>
      </c>
      <c r="D279">
        <v>90.984999999999999</v>
      </c>
      <c r="E279">
        <v>130.101</v>
      </c>
      <c r="F279">
        <v>1.9100000000000001</v>
      </c>
      <c r="G279">
        <v>2.2324999999999999</v>
      </c>
      <c r="H279">
        <v>2.7509999999999999</v>
      </c>
      <c r="I279">
        <v>2.4270999999999998</v>
      </c>
      <c r="J279">
        <v>3.5830000000000002</v>
      </c>
      <c r="K279">
        <v>8.3664006934677682E-2</v>
      </c>
      <c r="L279" s="112">
        <f>VLOOKUP(A279,[3]RESUMEN!$A:$AE,31,1)</f>
        <v>0.30524471313046664</v>
      </c>
      <c r="M279" s="113">
        <f>VLOOKUP(A279,[3]RESUMEN!$A:$AH,34,1)</f>
        <v>0.45298214602960035</v>
      </c>
      <c r="N279" s="113">
        <f>VLOOKUP(A279,[3]RESUMEN!$A:$AI,35,1)</f>
        <v>0.37911342958003347</v>
      </c>
    </row>
    <row r="280" spans="1:14" x14ac:dyDescent="0.25">
      <c r="A280" s="102">
        <v>39591</v>
      </c>
      <c r="B280">
        <v>53.332000000000001</v>
      </c>
      <c r="C280">
        <v>71.712999999999994</v>
      </c>
      <c r="D280">
        <v>91.67</v>
      </c>
      <c r="E280">
        <v>130.33799999999999</v>
      </c>
      <c r="F280">
        <v>1.99</v>
      </c>
      <c r="G280">
        <v>2.2665000000000002</v>
      </c>
      <c r="H280">
        <v>2.79</v>
      </c>
      <c r="I280">
        <v>2.4270999999999998</v>
      </c>
      <c r="J280">
        <v>3.653</v>
      </c>
      <c r="K280">
        <v>8.3664006934677682E-2</v>
      </c>
      <c r="L280" s="112">
        <f>VLOOKUP(A280,[3]RESUMEN!$A:$AE,31,1)</f>
        <v>0.30524471313046664</v>
      </c>
      <c r="M280" s="113">
        <f>VLOOKUP(A280,[3]RESUMEN!$A:$AH,34,1)</f>
        <v>0.45298214602960035</v>
      </c>
      <c r="N280" s="113">
        <f>VLOOKUP(A280,[3]RESUMEN!$A:$AI,35,1)</f>
        <v>0.37911342958003347</v>
      </c>
    </row>
    <row r="281" spans="1:14" x14ac:dyDescent="0.25">
      <c r="A281" s="102">
        <v>39598</v>
      </c>
      <c r="B281">
        <v>47.393000000000001</v>
      </c>
      <c r="C281">
        <v>60.863</v>
      </c>
      <c r="D281">
        <v>79.863</v>
      </c>
      <c r="E281">
        <v>115.43899999999999</v>
      </c>
      <c r="F281">
        <v>1.98</v>
      </c>
      <c r="G281">
        <v>2.3479999999999999</v>
      </c>
      <c r="H281">
        <v>2.9535</v>
      </c>
      <c r="I281">
        <v>2.4270999999999998</v>
      </c>
      <c r="J281">
        <v>3.9130000000000003</v>
      </c>
      <c r="K281">
        <v>7.4814700222438524E-2</v>
      </c>
      <c r="L281" s="112">
        <f>VLOOKUP(A281,[3]RESUMEN!$A:$AE,31,1)</f>
        <v>0.30524471313046664</v>
      </c>
      <c r="M281" s="113">
        <f>VLOOKUP(A281,[3]RESUMEN!$A:$AH,34,1)</f>
        <v>0.45298214602960035</v>
      </c>
      <c r="N281" s="113">
        <f>VLOOKUP(A281,[3]RESUMEN!$A:$AI,35,1)</f>
        <v>0.37911342958003347</v>
      </c>
    </row>
    <row r="282" spans="1:14" x14ac:dyDescent="0.25">
      <c r="A282" s="102">
        <v>39605</v>
      </c>
      <c r="B282">
        <v>48.125</v>
      </c>
      <c r="C282">
        <v>67.125</v>
      </c>
      <c r="D282">
        <v>85.25</v>
      </c>
      <c r="E282">
        <v>117.714</v>
      </c>
      <c r="F282">
        <v>2.0099999999999998</v>
      </c>
      <c r="G282">
        <v>2.2800000000000002</v>
      </c>
      <c r="H282">
        <v>2.7965</v>
      </c>
      <c r="I282">
        <v>2.4270999999999998</v>
      </c>
      <c r="J282">
        <v>3.8010000000000002</v>
      </c>
      <c r="K282">
        <v>7.5533856111735354E-2</v>
      </c>
      <c r="L282" s="112">
        <f>VLOOKUP(A282,[3]RESUMEN!$A:$AE,31,1)</f>
        <v>0.30524471313046664</v>
      </c>
      <c r="M282" s="113">
        <f>VLOOKUP(A282,[3]RESUMEN!$A:$AH,34,1)</f>
        <v>0.45298214602960035</v>
      </c>
      <c r="N282" s="113">
        <f>VLOOKUP(A282,[3]RESUMEN!$A:$AI,35,1)</f>
        <v>0.37911342958003347</v>
      </c>
    </row>
    <row r="283" spans="1:14" x14ac:dyDescent="0.25">
      <c r="A283" s="102">
        <v>39612</v>
      </c>
      <c r="B283">
        <v>49.685000000000002</v>
      </c>
      <c r="C283">
        <v>69.319999999999993</v>
      </c>
      <c r="D283">
        <v>90.093999999999994</v>
      </c>
      <c r="E283">
        <v>129.83000000000001</v>
      </c>
      <c r="F283">
        <v>2.02</v>
      </c>
      <c r="G283">
        <v>2.806</v>
      </c>
      <c r="H283">
        <v>3.431</v>
      </c>
      <c r="I283">
        <v>2.4270999999999998</v>
      </c>
      <c r="J283">
        <v>4.3170000000000002</v>
      </c>
      <c r="K283">
        <v>8.3482932187826653E-2</v>
      </c>
      <c r="L283" s="112">
        <f>VLOOKUP(A283,[3]RESUMEN!$A:$AE,31,1)</f>
        <v>0.30524471313046664</v>
      </c>
      <c r="M283" s="113">
        <f>VLOOKUP(A283,[3]RESUMEN!$A:$AH,34,1)</f>
        <v>0.45298214602960035</v>
      </c>
      <c r="N283" s="113">
        <f>VLOOKUP(A283,[3]RESUMEN!$A:$AI,35,1)</f>
        <v>0.37911342958003347</v>
      </c>
    </row>
    <row r="284" spans="1:14" x14ac:dyDescent="0.25">
      <c r="A284" s="102">
        <v>39619</v>
      </c>
      <c r="B284">
        <v>50.817</v>
      </c>
      <c r="C284">
        <v>75.34</v>
      </c>
      <c r="D284">
        <v>96.763999999999996</v>
      </c>
      <c r="E284">
        <v>137.10400000000001</v>
      </c>
      <c r="F284">
        <v>1.99</v>
      </c>
      <c r="G284">
        <v>2.6414999999999997</v>
      </c>
      <c r="H284">
        <v>3.2410000000000001</v>
      </c>
      <c r="I284">
        <v>2.4270999999999998</v>
      </c>
      <c r="J284">
        <v>4.125</v>
      </c>
      <c r="K284">
        <v>8.7960980862517579E-2</v>
      </c>
      <c r="L284" s="112">
        <f>VLOOKUP(A284,[3]RESUMEN!$A:$AE,31,1)</f>
        <v>0.30524471313046664</v>
      </c>
      <c r="M284" s="113">
        <f>VLOOKUP(A284,[3]RESUMEN!$A:$AH,34,1)</f>
        <v>0.45298214602960035</v>
      </c>
      <c r="N284" s="113">
        <f>VLOOKUP(A284,[3]RESUMEN!$A:$AI,35,1)</f>
        <v>0.37911342958003347</v>
      </c>
    </row>
    <row r="285" spans="1:14" x14ac:dyDescent="0.25">
      <c r="A285" s="102">
        <v>39626</v>
      </c>
      <c r="B285">
        <v>57.95</v>
      </c>
      <c r="C285">
        <v>88.75</v>
      </c>
      <c r="D285">
        <v>114</v>
      </c>
      <c r="E285">
        <v>160.495</v>
      </c>
      <c r="F285">
        <v>1.99</v>
      </c>
      <c r="G285">
        <v>2.4489999999999998</v>
      </c>
      <c r="H285">
        <v>3.0285000000000002</v>
      </c>
      <c r="I285">
        <v>2.4270999999999998</v>
      </c>
      <c r="J285">
        <v>3.919</v>
      </c>
      <c r="K285">
        <v>0.10224278407501375</v>
      </c>
      <c r="L285" s="112">
        <f>VLOOKUP(A285,[3]RESUMEN!$A:$AE,31,1)</f>
        <v>0.30524471313046664</v>
      </c>
      <c r="M285" s="113">
        <f>VLOOKUP(A285,[3]RESUMEN!$A:$AH,34,1)</f>
        <v>0.45298214602960035</v>
      </c>
      <c r="N285" s="113">
        <f>VLOOKUP(A285,[3]RESUMEN!$A:$AI,35,1)</f>
        <v>0.37911342958003347</v>
      </c>
    </row>
    <row r="286" spans="1:14" x14ac:dyDescent="0.25">
      <c r="A286" s="102">
        <v>39633</v>
      </c>
      <c r="B286">
        <v>69.632000000000005</v>
      </c>
      <c r="C286">
        <v>94.867999999999995</v>
      </c>
      <c r="D286">
        <v>124.264</v>
      </c>
      <c r="E286">
        <v>169.286</v>
      </c>
      <c r="F286">
        <v>1.92</v>
      </c>
      <c r="G286">
        <v>2.4125000000000001</v>
      </c>
      <c r="H286">
        <v>2.9449999999999998</v>
      </c>
      <c r="I286">
        <v>2.4270999999999998</v>
      </c>
      <c r="J286">
        <v>3.875</v>
      </c>
      <c r="K286">
        <v>0.10751235494951572</v>
      </c>
      <c r="L286" s="112">
        <f>VLOOKUP(A286,[3]RESUMEN!$A:$AE,31,1)</f>
        <v>0.43049796987291294</v>
      </c>
      <c r="M286" s="113">
        <f>VLOOKUP(A286,[3]RESUMEN!$A:$AH,34,1)</f>
        <v>0.40208266406529902</v>
      </c>
      <c r="N286" s="113">
        <f>VLOOKUP(A286,[3]RESUMEN!$A:$AI,35,1)</f>
        <v>0.41629031696910601</v>
      </c>
    </row>
    <row r="287" spans="1:14" x14ac:dyDescent="0.25">
      <c r="A287" s="102">
        <v>39640</v>
      </c>
      <c r="B287">
        <v>72.004999999999995</v>
      </c>
      <c r="C287">
        <v>97.774000000000001</v>
      </c>
      <c r="D287">
        <v>123.67</v>
      </c>
      <c r="E287">
        <v>170.505</v>
      </c>
      <c r="F287">
        <v>1.97</v>
      </c>
      <c r="G287">
        <v>2.3805000000000001</v>
      </c>
      <c r="H287">
        <v>2.8875000000000002</v>
      </c>
      <c r="I287">
        <v>2.4270999999999998</v>
      </c>
      <c r="J287">
        <v>3.7759999999999998</v>
      </c>
      <c r="K287">
        <v>0.10852691657377</v>
      </c>
      <c r="L287" s="112">
        <f>VLOOKUP(A287,[3]RESUMEN!$A:$AE,31,1)</f>
        <v>0.43049796987291294</v>
      </c>
      <c r="M287" s="113">
        <f>VLOOKUP(A287,[3]RESUMEN!$A:$AH,34,1)</f>
        <v>0.40208266406529902</v>
      </c>
      <c r="N287" s="113">
        <f>VLOOKUP(A287,[3]RESUMEN!$A:$AI,35,1)</f>
        <v>0.41629031696910601</v>
      </c>
    </row>
    <row r="288" spans="1:14" x14ac:dyDescent="0.25">
      <c r="A288" s="102">
        <v>39647</v>
      </c>
      <c r="B288">
        <v>67.566000000000003</v>
      </c>
      <c r="C288">
        <v>87.876000000000005</v>
      </c>
      <c r="D288">
        <v>112.041</v>
      </c>
      <c r="E288">
        <v>150.995</v>
      </c>
      <c r="F288">
        <v>1.96</v>
      </c>
      <c r="G288">
        <v>2.4430000000000001</v>
      </c>
      <c r="H288">
        <v>3.0375000000000001</v>
      </c>
      <c r="I288">
        <v>2.4270999999999998</v>
      </c>
      <c r="J288">
        <v>4.008</v>
      </c>
      <c r="K288">
        <v>9.6384291281757406E-2</v>
      </c>
      <c r="L288" s="112">
        <f>VLOOKUP(A288,[3]RESUMEN!$A:$AE,31,1)</f>
        <v>0.43049796987291294</v>
      </c>
      <c r="M288" s="113">
        <f>VLOOKUP(A288,[3]RESUMEN!$A:$AH,34,1)</f>
        <v>0.40208266406529902</v>
      </c>
      <c r="N288" s="113">
        <f>VLOOKUP(A288,[3]RESUMEN!$A:$AI,35,1)</f>
        <v>0.41629031696910601</v>
      </c>
    </row>
    <row r="289" spans="1:14" x14ac:dyDescent="0.25">
      <c r="A289" s="102">
        <v>39654</v>
      </c>
      <c r="B289">
        <v>63.774000000000001</v>
      </c>
      <c r="C289">
        <v>82.665000000000006</v>
      </c>
      <c r="D289">
        <v>105.33</v>
      </c>
      <c r="E289">
        <v>144.33500000000001</v>
      </c>
      <c r="F289">
        <v>2.13</v>
      </c>
      <c r="G289">
        <v>2.431</v>
      </c>
      <c r="H289">
        <v>3.0095000000000001</v>
      </c>
      <c r="I289">
        <v>2.4270999999999998</v>
      </c>
      <c r="J289">
        <v>3.8890000000000002</v>
      </c>
      <c r="K289">
        <v>9.233915791973335E-2</v>
      </c>
      <c r="L289" s="112">
        <f>VLOOKUP(A289,[3]RESUMEN!$A:$AE,31,1)</f>
        <v>0.43049796987291294</v>
      </c>
      <c r="M289" s="113">
        <f>VLOOKUP(A289,[3]RESUMEN!$A:$AH,34,1)</f>
        <v>0.40208266406529902</v>
      </c>
      <c r="N289" s="113">
        <f>VLOOKUP(A289,[3]RESUMEN!$A:$AI,35,1)</f>
        <v>0.41629031696910601</v>
      </c>
    </row>
    <row r="290" spans="1:14" x14ac:dyDescent="0.25">
      <c r="A290" s="102">
        <v>39661</v>
      </c>
      <c r="B290">
        <v>65.344999999999999</v>
      </c>
      <c r="C290">
        <v>82.995000000000005</v>
      </c>
      <c r="D290">
        <v>105.99</v>
      </c>
      <c r="E290">
        <v>148.16499999999999</v>
      </c>
      <c r="F290">
        <v>2.04</v>
      </c>
      <c r="G290">
        <v>2.3704999999999998</v>
      </c>
      <c r="H290">
        <v>2.8449999999999998</v>
      </c>
      <c r="I290">
        <v>2.4270999999999998</v>
      </c>
      <c r="J290">
        <v>3.7109999999999999</v>
      </c>
      <c r="K290">
        <v>9.4719928359986105E-2</v>
      </c>
      <c r="L290" s="112">
        <f>VLOOKUP(A290,[3]RESUMEN!$A:$AE,31,1)</f>
        <v>0.43049796987291294</v>
      </c>
      <c r="M290" s="113">
        <f>VLOOKUP(A290,[3]RESUMEN!$A:$AH,34,1)</f>
        <v>0.40208266406529902</v>
      </c>
      <c r="N290" s="113">
        <f>VLOOKUP(A290,[3]RESUMEN!$A:$AI,35,1)</f>
        <v>0.41629031696910601</v>
      </c>
    </row>
    <row r="291" spans="1:14" x14ac:dyDescent="0.25">
      <c r="A291" s="102">
        <v>39668</v>
      </c>
      <c r="B291">
        <v>66.004999999999995</v>
      </c>
      <c r="C291">
        <v>88.796999999999997</v>
      </c>
      <c r="D291">
        <v>112.703</v>
      </c>
      <c r="E291">
        <v>159.995</v>
      </c>
      <c r="F291">
        <v>2.0099999999999998</v>
      </c>
      <c r="G291">
        <v>2.3125</v>
      </c>
      <c r="H291">
        <v>2.8209999999999997</v>
      </c>
      <c r="I291">
        <v>2.4270999999999998</v>
      </c>
      <c r="J291">
        <v>3.7010000000000001</v>
      </c>
      <c r="K291">
        <v>0.10193692687709177</v>
      </c>
      <c r="L291" s="112">
        <f>VLOOKUP(A291,[3]RESUMEN!$A:$AE,31,1)</f>
        <v>0.43049796987291294</v>
      </c>
      <c r="M291" s="113">
        <f>VLOOKUP(A291,[3]RESUMEN!$A:$AH,34,1)</f>
        <v>0.40208266406529902</v>
      </c>
      <c r="N291" s="113">
        <f>VLOOKUP(A291,[3]RESUMEN!$A:$AI,35,1)</f>
        <v>0.41629031696910601</v>
      </c>
    </row>
    <row r="292" spans="1:14" x14ac:dyDescent="0.25">
      <c r="A292" s="102">
        <v>39675</v>
      </c>
      <c r="B292">
        <v>65</v>
      </c>
      <c r="C292">
        <v>89.400999999999996</v>
      </c>
      <c r="D292">
        <v>112.226</v>
      </c>
      <c r="E292">
        <v>160.071</v>
      </c>
      <c r="F292">
        <v>2.08</v>
      </c>
      <c r="G292">
        <v>2.266</v>
      </c>
      <c r="H292">
        <v>2.7109999999999999</v>
      </c>
      <c r="I292">
        <v>2.4270999999999998</v>
      </c>
      <c r="J292">
        <v>3.5880000000000001</v>
      </c>
      <c r="K292">
        <v>0.10193692687709177</v>
      </c>
      <c r="L292" s="112">
        <f>VLOOKUP(A292,[3]RESUMEN!$A:$AE,31,1)</f>
        <v>0.43049796987291294</v>
      </c>
      <c r="M292" s="113">
        <f>VLOOKUP(A292,[3]RESUMEN!$A:$AH,34,1)</f>
        <v>0.40208266406529902</v>
      </c>
      <c r="N292" s="113">
        <f>VLOOKUP(A292,[3]RESUMEN!$A:$AI,35,1)</f>
        <v>0.41629031696910601</v>
      </c>
    </row>
    <row r="293" spans="1:14" x14ac:dyDescent="0.25">
      <c r="A293" s="102">
        <v>39682</v>
      </c>
      <c r="B293">
        <v>68.570999999999998</v>
      </c>
      <c r="C293">
        <v>93.495000000000005</v>
      </c>
      <c r="D293">
        <v>118.386</v>
      </c>
      <c r="E293">
        <v>162.59399999999999</v>
      </c>
      <c r="F293">
        <v>2.02</v>
      </c>
      <c r="G293">
        <v>2.2995000000000001</v>
      </c>
      <c r="H293">
        <v>2.7534999999999998</v>
      </c>
      <c r="I293">
        <v>2.4270999999999998</v>
      </c>
      <c r="J293">
        <v>3.5964999999999998</v>
      </c>
      <c r="K293">
        <v>0.10290196030228327</v>
      </c>
      <c r="L293" s="112">
        <f>VLOOKUP(A293,[3]RESUMEN!$A:$AE,31,1)</f>
        <v>0.43049796987291294</v>
      </c>
      <c r="M293" s="113">
        <f>VLOOKUP(A293,[3]RESUMEN!$A:$AH,34,1)</f>
        <v>0.40208266406529902</v>
      </c>
      <c r="N293" s="113">
        <f>VLOOKUP(A293,[3]RESUMEN!$A:$AI,35,1)</f>
        <v>0.41629031696910601</v>
      </c>
    </row>
    <row r="294" spans="1:14" x14ac:dyDescent="0.25">
      <c r="A294" s="102">
        <v>39689</v>
      </c>
      <c r="B294">
        <v>66.656999999999996</v>
      </c>
      <c r="C294">
        <v>91.17</v>
      </c>
      <c r="D294">
        <v>115.175</v>
      </c>
      <c r="E294">
        <v>159.934</v>
      </c>
      <c r="F294">
        <v>1.94</v>
      </c>
      <c r="G294">
        <v>2.2359999999999998</v>
      </c>
      <c r="H294">
        <v>2.6659999999999999</v>
      </c>
      <c r="I294">
        <v>2.4270999999999998</v>
      </c>
      <c r="J294">
        <v>3.524</v>
      </c>
      <c r="K294">
        <v>0.10192727130222712</v>
      </c>
      <c r="L294" s="112">
        <f>VLOOKUP(A294,[3]RESUMEN!$A:$AE,31,1)</f>
        <v>0.43049796987291294</v>
      </c>
      <c r="M294" s="113">
        <f>VLOOKUP(A294,[3]RESUMEN!$A:$AH,34,1)</f>
        <v>0.40208266406529902</v>
      </c>
      <c r="N294" s="113">
        <f>VLOOKUP(A294,[3]RESUMEN!$A:$AI,35,1)</f>
        <v>0.41629031696910601</v>
      </c>
    </row>
    <row r="295" spans="1:14" x14ac:dyDescent="0.25">
      <c r="A295" s="102">
        <v>39696</v>
      </c>
      <c r="B295">
        <v>70.34</v>
      </c>
      <c r="C295">
        <v>105.667</v>
      </c>
      <c r="D295">
        <v>133</v>
      </c>
      <c r="E295">
        <v>184.23099999999999</v>
      </c>
      <c r="F295">
        <v>1.97</v>
      </c>
      <c r="G295">
        <v>2.173</v>
      </c>
      <c r="H295">
        <v>2.5640000000000001</v>
      </c>
      <c r="I295">
        <v>2.4270999999999998</v>
      </c>
      <c r="J295">
        <v>3.3875000000000002</v>
      </c>
      <c r="K295">
        <v>0.11649952748637415</v>
      </c>
      <c r="L295" s="112">
        <f>VLOOKUP(A295,[3]RESUMEN!$A:$AE,31,1)</f>
        <v>0.43049796987291294</v>
      </c>
      <c r="M295" s="113">
        <f>VLOOKUP(A295,[3]RESUMEN!$A:$AH,34,1)</f>
        <v>0.40208266406529902</v>
      </c>
      <c r="N295" s="113">
        <f>VLOOKUP(A295,[3]RESUMEN!$A:$AI,35,1)</f>
        <v>0.41629031696910601</v>
      </c>
    </row>
    <row r="296" spans="1:14" x14ac:dyDescent="0.25">
      <c r="A296" s="102">
        <v>39703</v>
      </c>
      <c r="B296">
        <v>73.174999999999997</v>
      </c>
      <c r="C296">
        <v>106.83</v>
      </c>
      <c r="D296">
        <v>135.89599999999999</v>
      </c>
      <c r="E296">
        <v>190.46199999999999</v>
      </c>
      <c r="F296">
        <v>2.1</v>
      </c>
      <c r="G296">
        <v>2.0884999999999998</v>
      </c>
      <c r="H296">
        <v>2.4685000000000001</v>
      </c>
      <c r="I296">
        <v>2.4270999999999998</v>
      </c>
      <c r="J296">
        <v>3.33</v>
      </c>
      <c r="K296">
        <v>0.12025826197128053</v>
      </c>
      <c r="L296" s="112">
        <f>VLOOKUP(A296,[3]RESUMEN!$A:$AE,31,1)</f>
        <v>0.43049796987291294</v>
      </c>
      <c r="M296" s="113">
        <f>VLOOKUP(A296,[3]RESUMEN!$A:$AH,34,1)</f>
        <v>0.40208266406529902</v>
      </c>
      <c r="N296" s="113">
        <f>VLOOKUP(A296,[3]RESUMEN!$A:$AI,35,1)</f>
        <v>0.41629031696910601</v>
      </c>
    </row>
    <row r="297" spans="1:14" x14ac:dyDescent="0.25">
      <c r="A297" s="102">
        <v>39710</v>
      </c>
      <c r="B297">
        <v>101.6</v>
      </c>
      <c r="C297">
        <v>117.31399999999999</v>
      </c>
      <c r="D297">
        <v>140.048</v>
      </c>
      <c r="E297">
        <v>194.274</v>
      </c>
      <c r="F297">
        <v>1.48</v>
      </c>
      <c r="G297">
        <v>2.077</v>
      </c>
      <c r="H297">
        <v>2.4874999999999998</v>
      </c>
      <c r="I297">
        <v>2.4270999999999998</v>
      </c>
      <c r="J297">
        <v>3.4215</v>
      </c>
      <c r="K297">
        <v>0.12240312253093177</v>
      </c>
      <c r="L297" s="112">
        <f>VLOOKUP(A297,[3]RESUMEN!$A:$AE,31,1)</f>
        <v>0.43049796987291294</v>
      </c>
      <c r="M297" s="113">
        <f>VLOOKUP(A297,[3]RESUMEN!$A:$AH,34,1)</f>
        <v>0.40208266406529902</v>
      </c>
      <c r="N297" s="113">
        <f>VLOOKUP(A297,[3]RESUMEN!$A:$AI,35,1)</f>
        <v>0.41629031696910601</v>
      </c>
    </row>
    <row r="298" spans="1:14" x14ac:dyDescent="0.25">
      <c r="A298" s="102">
        <v>39717</v>
      </c>
      <c r="B298">
        <v>84.334999999999994</v>
      </c>
      <c r="C298">
        <v>118.69</v>
      </c>
      <c r="D298">
        <v>146.02000000000001</v>
      </c>
      <c r="E298">
        <v>193.17500000000001</v>
      </c>
      <c r="F298">
        <v>1.08</v>
      </c>
      <c r="G298">
        <v>1.8519999999999999</v>
      </c>
      <c r="H298">
        <v>2.4420000000000002</v>
      </c>
      <c r="I298">
        <v>2.4270999999999998</v>
      </c>
      <c r="J298">
        <v>3.4889999999999999</v>
      </c>
      <c r="K298">
        <v>0.1212565140827333</v>
      </c>
      <c r="L298" s="112">
        <f>VLOOKUP(A298,[3]RESUMEN!$A:$AE,31,1)</f>
        <v>0.43049796987291294</v>
      </c>
      <c r="M298" s="113">
        <f>VLOOKUP(A298,[3]RESUMEN!$A:$AH,34,1)</f>
        <v>0.40208266406529902</v>
      </c>
      <c r="N298" s="113">
        <f>VLOOKUP(A298,[3]RESUMEN!$A:$AI,35,1)</f>
        <v>0.41629031696910601</v>
      </c>
    </row>
    <row r="299" spans="1:14" x14ac:dyDescent="0.25">
      <c r="A299" s="102">
        <v>39724</v>
      </c>
      <c r="B299">
        <v>100.116</v>
      </c>
      <c r="C299">
        <v>126.065</v>
      </c>
      <c r="D299">
        <v>153.15600000000001</v>
      </c>
      <c r="E299">
        <v>211.756</v>
      </c>
      <c r="F299">
        <v>1.1000000000000001</v>
      </c>
      <c r="G299">
        <v>1.516</v>
      </c>
      <c r="H299">
        <v>2.0285000000000002</v>
      </c>
      <c r="I299">
        <v>2.4270999999999998</v>
      </c>
      <c r="J299">
        <v>3.1074999999999999</v>
      </c>
      <c r="K299">
        <v>0.13272997868741632</v>
      </c>
      <c r="L299" s="112">
        <f>VLOOKUP(A299,[3]RESUMEN!$A:$AE,31,1)</f>
        <v>0.60432258104552672</v>
      </c>
      <c r="M299" s="113">
        <f>VLOOKUP(A299,[3]RESUMEN!$A:$AH,34,1)</f>
        <v>-0.68227476444905044</v>
      </c>
      <c r="N299" s="113">
        <f>VLOOKUP(A299,[3]RESUMEN!$A:$AI,35,1)</f>
        <v>-3.8976091701761861E-2</v>
      </c>
    </row>
    <row r="300" spans="1:14" x14ac:dyDescent="0.25">
      <c r="A300" s="102">
        <v>39731</v>
      </c>
      <c r="B300">
        <v>250.65600000000001</v>
      </c>
      <c r="C300">
        <v>307.01400000000001</v>
      </c>
      <c r="D300">
        <v>347.197</v>
      </c>
      <c r="E300">
        <v>406.82</v>
      </c>
      <c r="F300">
        <v>0.79</v>
      </c>
      <c r="G300">
        <v>1.3759999999999999</v>
      </c>
      <c r="H300">
        <v>1.9950000000000001</v>
      </c>
      <c r="I300">
        <v>2.4270999999999998</v>
      </c>
      <c r="J300">
        <v>3.32</v>
      </c>
      <c r="K300">
        <v>0.23859044718960642</v>
      </c>
      <c r="L300" s="112">
        <f>VLOOKUP(A300,[3]RESUMEN!$A:$AE,31,1)</f>
        <v>0.60432258104552672</v>
      </c>
      <c r="M300" s="113">
        <f>VLOOKUP(A300,[3]RESUMEN!$A:$AH,34,1)</f>
        <v>-0.68227476444905044</v>
      </c>
      <c r="N300" s="113">
        <f>VLOOKUP(A300,[3]RESUMEN!$A:$AI,35,1)</f>
        <v>-3.8976091701761861E-2</v>
      </c>
    </row>
    <row r="301" spans="1:14" x14ac:dyDescent="0.25">
      <c r="A301" s="102">
        <v>39738</v>
      </c>
      <c r="B301">
        <v>209.42400000000001</v>
      </c>
      <c r="C301">
        <v>265.08999999999997</v>
      </c>
      <c r="D301">
        <v>285.65899999999999</v>
      </c>
      <c r="E301">
        <v>328.30399999999997</v>
      </c>
      <c r="F301">
        <v>0.6</v>
      </c>
      <c r="G301">
        <v>1.3180000000000001</v>
      </c>
      <c r="H301">
        <v>1.8965000000000001</v>
      </c>
      <c r="I301">
        <v>2.4270999999999998</v>
      </c>
      <c r="J301">
        <v>3.3580000000000001</v>
      </c>
      <c r="K301">
        <v>0.19712880227823071</v>
      </c>
      <c r="L301" s="112">
        <f>VLOOKUP(A301,[3]RESUMEN!$A:$AE,31,1)</f>
        <v>0.60432258104552672</v>
      </c>
      <c r="M301" s="113">
        <f>VLOOKUP(A301,[3]RESUMEN!$A:$AH,34,1)</f>
        <v>-0.68227476444905044</v>
      </c>
      <c r="N301" s="113">
        <f>VLOOKUP(A301,[3]RESUMEN!$A:$AI,35,1)</f>
        <v>-3.8976091701761861E-2</v>
      </c>
    </row>
    <row r="302" spans="1:14" x14ac:dyDescent="0.25">
      <c r="A302" s="102">
        <v>39745</v>
      </c>
      <c r="B302">
        <v>533.33299999999997</v>
      </c>
      <c r="C302">
        <v>543.33299999999997</v>
      </c>
      <c r="D302">
        <v>559.66700000000003</v>
      </c>
      <c r="E302">
        <v>593.66899999999998</v>
      </c>
      <c r="F302">
        <v>0.95</v>
      </c>
      <c r="G302">
        <v>1.1679999999999999</v>
      </c>
      <c r="H302">
        <v>1.6930000000000001</v>
      </c>
      <c r="I302">
        <v>2.4270999999999998</v>
      </c>
      <c r="J302">
        <v>3.1004999999999998</v>
      </c>
      <c r="K302">
        <v>0.32584609327098235</v>
      </c>
      <c r="L302" s="112">
        <f>VLOOKUP(A302,[3]RESUMEN!$A:$AE,31,1)</f>
        <v>0.60432258104552672</v>
      </c>
      <c r="M302" s="113">
        <f>VLOOKUP(A302,[3]RESUMEN!$A:$AH,34,1)</f>
        <v>-0.68227476444905044</v>
      </c>
      <c r="N302" s="113">
        <f>VLOOKUP(A302,[3]RESUMEN!$A:$AI,35,1)</f>
        <v>-3.8976091701761861E-2</v>
      </c>
    </row>
    <row r="303" spans="1:14" x14ac:dyDescent="0.25">
      <c r="A303" s="102">
        <v>39752</v>
      </c>
      <c r="B303">
        <v>279.16000000000003</v>
      </c>
      <c r="C303">
        <v>291.02300000000002</v>
      </c>
      <c r="D303">
        <v>297.14</v>
      </c>
      <c r="E303">
        <v>319.97500000000002</v>
      </c>
      <c r="F303">
        <v>0.22</v>
      </c>
      <c r="G303">
        <v>1.0249999999999999</v>
      </c>
      <c r="H303">
        <v>1.7290000000000001</v>
      </c>
      <c r="I303">
        <v>2.4270999999999998</v>
      </c>
      <c r="J303">
        <v>3.2850000000000001</v>
      </c>
      <c r="K303">
        <v>0.19201536802210684</v>
      </c>
      <c r="L303" s="112">
        <f>VLOOKUP(A303,[3]RESUMEN!$A:$AE,31,1)</f>
        <v>0.60432258104552672</v>
      </c>
      <c r="M303" s="113">
        <f>VLOOKUP(A303,[3]RESUMEN!$A:$AH,34,1)</f>
        <v>-0.68227476444905044</v>
      </c>
      <c r="N303" s="113">
        <f>VLOOKUP(A303,[3]RESUMEN!$A:$AI,35,1)</f>
        <v>-3.8976091701761861E-2</v>
      </c>
    </row>
    <row r="304" spans="1:14" x14ac:dyDescent="0.25">
      <c r="A304" s="102">
        <v>39759</v>
      </c>
      <c r="B304">
        <v>275.86399999999998</v>
      </c>
      <c r="C304">
        <v>286.161</v>
      </c>
      <c r="D304">
        <v>292.80599999999998</v>
      </c>
      <c r="E304">
        <v>317.83100000000002</v>
      </c>
      <c r="F304">
        <v>0.27</v>
      </c>
      <c r="G304">
        <v>0.86550000000000005</v>
      </c>
      <c r="H304">
        <v>1.5044999999999999</v>
      </c>
      <c r="I304">
        <v>2.4270999999999998</v>
      </c>
      <c r="J304">
        <v>3.0739999999999998</v>
      </c>
      <c r="K304">
        <v>0.190906336946983</v>
      </c>
      <c r="L304" s="112">
        <f>VLOOKUP(A304,[3]RESUMEN!$A:$AE,31,1)</f>
        <v>0.60432258104552672</v>
      </c>
      <c r="M304" s="113">
        <f>VLOOKUP(A304,[3]RESUMEN!$A:$AH,34,1)</f>
        <v>-0.68227476444905044</v>
      </c>
      <c r="N304" s="113">
        <f>VLOOKUP(A304,[3]RESUMEN!$A:$AI,35,1)</f>
        <v>-3.8976091701761861E-2</v>
      </c>
    </row>
    <row r="305" spans="1:14" x14ac:dyDescent="0.25">
      <c r="A305" s="102">
        <v>39766</v>
      </c>
      <c r="B305">
        <v>305.05799999999999</v>
      </c>
      <c r="C305">
        <v>333.25799999999998</v>
      </c>
      <c r="D305">
        <v>344.24799999999999</v>
      </c>
      <c r="E305">
        <v>361.97199999999998</v>
      </c>
      <c r="F305">
        <v>0.34</v>
      </c>
      <c r="G305">
        <v>0.84</v>
      </c>
      <c r="H305">
        <v>1.3759999999999999</v>
      </c>
      <c r="I305">
        <v>2.4270999999999998</v>
      </c>
      <c r="J305">
        <v>2.8449999999999998</v>
      </c>
      <c r="K305">
        <v>0.21410684114490208</v>
      </c>
      <c r="L305" s="112">
        <f>VLOOKUP(A305,[3]RESUMEN!$A:$AE,31,1)</f>
        <v>0.60432258104552672</v>
      </c>
      <c r="M305" s="113">
        <f>VLOOKUP(A305,[3]RESUMEN!$A:$AH,34,1)</f>
        <v>-0.68227476444905044</v>
      </c>
      <c r="N305" s="113">
        <f>VLOOKUP(A305,[3]RESUMEN!$A:$AI,35,1)</f>
        <v>-3.8976091701761861E-2</v>
      </c>
    </row>
    <row r="306" spans="1:14" x14ac:dyDescent="0.25">
      <c r="A306" s="102">
        <v>39773</v>
      </c>
      <c r="B306">
        <v>357.29500000000002</v>
      </c>
      <c r="C306">
        <v>382.68299999999999</v>
      </c>
      <c r="D306">
        <v>396.92399999999998</v>
      </c>
      <c r="E306">
        <v>437.726</v>
      </c>
      <c r="F306">
        <v>0.56999999999999995</v>
      </c>
      <c r="G306">
        <v>0.67500000000000004</v>
      </c>
      <c r="H306">
        <v>1.1445000000000001</v>
      </c>
      <c r="I306">
        <v>2.4270999999999998</v>
      </c>
      <c r="J306">
        <v>2.419</v>
      </c>
      <c r="K306">
        <v>0.25313936589935837</v>
      </c>
      <c r="L306" s="112">
        <f>VLOOKUP(A306,[3]RESUMEN!$A:$AE,31,1)</f>
        <v>0.60432258104552672</v>
      </c>
      <c r="M306" s="113">
        <f>VLOOKUP(A306,[3]RESUMEN!$A:$AH,34,1)</f>
        <v>-0.68227476444905044</v>
      </c>
      <c r="N306" s="113">
        <f>VLOOKUP(A306,[3]RESUMEN!$A:$AI,35,1)</f>
        <v>-3.8976091701761861E-2</v>
      </c>
    </row>
    <row r="307" spans="1:14" x14ac:dyDescent="0.25">
      <c r="A307" s="102">
        <v>39780</v>
      </c>
      <c r="B307">
        <v>271.21100000000001</v>
      </c>
      <c r="C307">
        <v>300.642</v>
      </c>
      <c r="D307">
        <v>312.83999999999997</v>
      </c>
      <c r="E307">
        <v>330.49</v>
      </c>
      <c r="F307">
        <v>0.52</v>
      </c>
      <c r="G307">
        <v>0.628</v>
      </c>
      <c r="H307">
        <v>1.083</v>
      </c>
      <c r="I307">
        <v>2.4270999999999998</v>
      </c>
      <c r="J307">
        <v>2.181</v>
      </c>
      <c r="K307">
        <v>0.19717171681283963</v>
      </c>
      <c r="L307" s="112">
        <f>VLOOKUP(A307,[3]RESUMEN!$A:$AE,31,1)</f>
        <v>0.60432258104552672</v>
      </c>
      <c r="M307" s="113">
        <f>VLOOKUP(A307,[3]RESUMEN!$A:$AH,34,1)</f>
        <v>-0.68227476444905044</v>
      </c>
      <c r="N307" s="113">
        <f>VLOOKUP(A307,[3]RESUMEN!$A:$AI,35,1)</f>
        <v>-3.8976091701761861E-2</v>
      </c>
    </row>
    <row r="308" spans="1:14" x14ac:dyDescent="0.25">
      <c r="A308" s="102">
        <v>39787</v>
      </c>
      <c r="B308">
        <v>341.45499999999998</v>
      </c>
      <c r="C308">
        <v>380.34300000000002</v>
      </c>
      <c r="D308">
        <v>397.67</v>
      </c>
      <c r="E308">
        <v>418.07900000000001</v>
      </c>
      <c r="F308">
        <v>0.12</v>
      </c>
      <c r="G308">
        <v>0.58199999999999996</v>
      </c>
      <c r="H308">
        <v>1.0305</v>
      </c>
      <c r="I308">
        <v>2.4270999999999998</v>
      </c>
      <c r="J308">
        <v>2.024</v>
      </c>
      <c r="K308">
        <v>0.24268841760066506</v>
      </c>
      <c r="L308" s="112">
        <f>VLOOKUP(A308,[3]RESUMEN!$A:$AE,31,1)</f>
        <v>0.60432258104552672</v>
      </c>
      <c r="M308" s="113">
        <f>VLOOKUP(A308,[3]RESUMEN!$A:$AH,34,1)</f>
        <v>-0.68227476444905044</v>
      </c>
      <c r="N308" s="113">
        <f>VLOOKUP(A308,[3]RESUMEN!$A:$AI,35,1)</f>
        <v>-3.8976091701761861E-2</v>
      </c>
    </row>
    <row r="309" spans="1:14" x14ac:dyDescent="0.25">
      <c r="A309" s="102">
        <v>39794</v>
      </c>
      <c r="B309">
        <v>324.66699999999997</v>
      </c>
      <c r="C309">
        <v>354</v>
      </c>
      <c r="D309">
        <v>371.66699999999997</v>
      </c>
      <c r="E309">
        <v>393.17599999999999</v>
      </c>
      <c r="F309">
        <v>0.15</v>
      </c>
      <c r="G309">
        <v>0.50949999999999995</v>
      </c>
      <c r="H309">
        <v>0.88849999999999996</v>
      </c>
      <c r="I309">
        <v>2.4270999999999998</v>
      </c>
      <c r="J309">
        <v>1.8029999999999999</v>
      </c>
      <c r="K309">
        <v>0.23036183115789111</v>
      </c>
      <c r="L309" s="112">
        <f>VLOOKUP(A309,[3]RESUMEN!$A:$AE,31,1)</f>
        <v>0.60432258104552672</v>
      </c>
      <c r="M309" s="113">
        <f>VLOOKUP(A309,[3]RESUMEN!$A:$AH,34,1)</f>
        <v>-0.68227476444905044</v>
      </c>
      <c r="N309" s="113">
        <f>VLOOKUP(A309,[3]RESUMEN!$A:$AI,35,1)</f>
        <v>-3.8976091701761861E-2</v>
      </c>
    </row>
    <row r="310" spans="1:14" x14ac:dyDescent="0.25">
      <c r="A310" s="102">
        <v>39801</v>
      </c>
      <c r="B310">
        <v>241.03</v>
      </c>
      <c r="C310">
        <v>276.86799999999999</v>
      </c>
      <c r="D310">
        <v>301.65100000000001</v>
      </c>
      <c r="E310">
        <v>313.40699999999998</v>
      </c>
      <c r="F310">
        <v>0.11</v>
      </c>
      <c r="G310">
        <v>0.41099999999999998</v>
      </c>
      <c r="H310">
        <v>0.77949999999999997</v>
      </c>
      <c r="I310">
        <v>2.4270999999999998</v>
      </c>
      <c r="J310">
        <v>1.661</v>
      </c>
      <c r="K310">
        <v>0.18828798852936579</v>
      </c>
      <c r="L310" s="112">
        <f>VLOOKUP(A310,[3]RESUMEN!$A:$AE,31,1)</f>
        <v>0.60432258104552672</v>
      </c>
      <c r="M310" s="113">
        <f>VLOOKUP(A310,[3]RESUMEN!$A:$AH,34,1)</f>
        <v>-0.68227476444905044</v>
      </c>
      <c r="N310" s="113">
        <f>VLOOKUP(A310,[3]RESUMEN!$A:$AI,35,1)</f>
        <v>-3.8976091701761861E-2</v>
      </c>
    </row>
    <row r="311" spans="1:14" x14ac:dyDescent="0.25">
      <c r="A311" s="102">
        <v>39808</v>
      </c>
      <c r="B311">
        <v>252.97300000000001</v>
      </c>
      <c r="C311">
        <v>282.62299999999999</v>
      </c>
      <c r="D311">
        <v>298.96499999999997</v>
      </c>
      <c r="E311">
        <v>315.59699999999998</v>
      </c>
      <c r="F311">
        <v>0.09</v>
      </c>
      <c r="G311">
        <v>0.438</v>
      </c>
      <c r="H311">
        <v>0.83899999999999997</v>
      </c>
      <c r="I311">
        <v>2.4270999999999998</v>
      </c>
      <c r="J311">
        <v>1.716</v>
      </c>
      <c r="K311">
        <v>0.18997953328040906</v>
      </c>
      <c r="L311" s="112">
        <f>VLOOKUP(A311,[3]RESUMEN!$A:$AE,31,1)</f>
        <v>0.60432258104552672</v>
      </c>
      <c r="M311" s="113">
        <f>VLOOKUP(A311,[3]RESUMEN!$A:$AH,34,1)</f>
        <v>-0.68227476444905044</v>
      </c>
      <c r="N311" s="113">
        <f>VLOOKUP(A311,[3]RESUMEN!$A:$AI,35,1)</f>
        <v>-3.8976091701761861E-2</v>
      </c>
    </row>
    <row r="312" spans="1:14" x14ac:dyDescent="0.25">
      <c r="A312" s="102">
        <v>39815</v>
      </c>
      <c r="B312">
        <v>246.601</v>
      </c>
      <c r="C312">
        <v>267.173</v>
      </c>
      <c r="D312">
        <v>283.82</v>
      </c>
      <c r="E312">
        <v>309.17500000000001</v>
      </c>
      <c r="F312">
        <v>0.08</v>
      </c>
      <c r="G312">
        <v>0.42299999999999999</v>
      </c>
      <c r="H312">
        <v>0.90700000000000003</v>
      </c>
      <c r="I312">
        <v>2.4270999999999998</v>
      </c>
      <c r="J312">
        <v>1.823</v>
      </c>
      <c r="K312">
        <v>0.18640826140455458</v>
      </c>
      <c r="L312" s="112">
        <f>VLOOKUP(A312,[3]RESUMEN!$A:$AE,31,1)</f>
        <v>0.57868552168255538</v>
      </c>
      <c r="M312" s="113">
        <f>VLOOKUP(A312,[3]RESUMEN!$A:$AH,34,1)</f>
        <v>-2.3837398134202026</v>
      </c>
      <c r="N312" s="113">
        <f>VLOOKUP(A312,[3]RESUMEN!$A:$AI,35,1)</f>
        <v>-0.90252714586882354</v>
      </c>
    </row>
    <row r="313" spans="1:14" x14ac:dyDescent="0.25">
      <c r="A313" s="102">
        <v>39822</v>
      </c>
      <c r="B313">
        <v>237.21899999999999</v>
      </c>
      <c r="C313">
        <v>271.25900000000001</v>
      </c>
      <c r="D313">
        <v>288.89800000000002</v>
      </c>
      <c r="E313">
        <v>317.59899999999999</v>
      </c>
      <c r="F313">
        <v>0.09</v>
      </c>
      <c r="G313">
        <v>0.35099999999999998</v>
      </c>
      <c r="H313">
        <v>0.746</v>
      </c>
      <c r="I313">
        <v>2.4270999999999998</v>
      </c>
      <c r="J313">
        <v>1.645</v>
      </c>
      <c r="K313">
        <v>0.19108530677499724</v>
      </c>
      <c r="L313" s="112">
        <f>VLOOKUP(A313,[3]RESUMEN!$A:$AE,31,1)</f>
        <v>0.57868552168255538</v>
      </c>
      <c r="M313" s="113">
        <f>VLOOKUP(A313,[3]RESUMEN!$A:$AH,34,1)</f>
        <v>-2.3837398134202026</v>
      </c>
      <c r="N313" s="113">
        <f>VLOOKUP(A313,[3]RESUMEN!$A:$AI,35,1)</f>
        <v>-0.90252714586882354</v>
      </c>
    </row>
    <row r="314" spans="1:14" x14ac:dyDescent="0.25">
      <c r="A314" s="102">
        <v>39829</v>
      </c>
      <c r="B314">
        <v>252.47200000000001</v>
      </c>
      <c r="C314">
        <v>293.49799999999999</v>
      </c>
      <c r="D314">
        <v>310.315</v>
      </c>
      <c r="E314">
        <v>337.06099999999998</v>
      </c>
      <c r="F314">
        <v>0.19</v>
      </c>
      <c r="G314">
        <v>0.32550000000000001</v>
      </c>
      <c r="H314">
        <v>0.73750000000000004</v>
      </c>
      <c r="I314">
        <v>2.4270999999999998</v>
      </c>
      <c r="J314">
        <v>1.6160000000000001</v>
      </c>
      <c r="K314">
        <v>0.20140951870222334</v>
      </c>
      <c r="L314" s="112">
        <f>VLOOKUP(A314,[3]RESUMEN!$A:$AE,31,1)</f>
        <v>0.57868552168255538</v>
      </c>
      <c r="M314" s="113">
        <f>VLOOKUP(A314,[3]RESUMEN!$A:$AH,34,1)</f>
        <v>-2.3837398134202026</v>
      </c>
      <c r="N314" s="113">
        <f>VLOOKUP(A314,[3]RESUMEN!$A:$AI,35,1)</f>
        <v>-0.90252714586882354</v>
      </c>
    </row>
    <row r="315" spans="1:14" x14ac:dyDescent="0.25">
      <c r="A315" s="102">
        <v>39836</v>
      </c>
      <c r="B315">
        <v>261.096</v>
      </c>
      <c r="C315">
        <v>297.04599999999999</v>
      </c>
      <c r="D315">
        <v>322.053</v>
      </c>
      <c r="E315">
        <v>359.05099999999999</v>
      </c>
      <c r="F315">
        <v>0.18</v>
      </c>
      <c r="G315">
        <v>0.38550000000000001</v>
      </c>
      <c r="H315">
        <v>0.79700000000000004</v>
      </c>
      <c r="I315">
        <v>2.4270999999999998</v>
      </c>
      <c r="J315">
        <v>1.8120000000000001</v>
      </c>
      <c r="K315">
        <v>0.21335630676012896</v>
      </c>
      <c r="L315" s="112">
        <f>VLOOKUP(A315,[3]RESUMEN!$A:$AE,31,1)</f>
        <v>0.57868552168255538</v>
      </c>
      <c r="M315" s="113">
        <f>VLOOKUP(A315,[3]RESUMEN!$A:$AH,34,1)</f>
        <v>-2.3837398134202026</v>
      </c>
      <c r="N315" s="113">
        <f>VLOOKUP(A315,[3]RESUMEN!$A:$AI,35,1)</f>
        <v>-0.90252714586882354</v>
      </c>
    </row>
    <row r="316" spans="1:14" x14ac:dyDescent="0.25">
      <c r="A316" s="102">
        <v>39843</v>
      </c>
      <c r="B316">
        <v>267.50700000000001</v>
      </c>
      <c r="C316">
        <v>309.25</v>
      </c>
      <c r="D316">
        <v>335.8</v>
      </c>
      <c r="E316">
        <v>369.85</v>
      </c>
      <c r="F316">
        <v>0.23</v>
      </c>
      <c r="G316">
        <v>0.441</v>
      </c>
      <c r="H316">
        <v>0.90900000000000003</v>
      </c>
      <c r="I316">
        <v>2.4270999999999998</v>
      </c>
      <c r="J316">
        <v>2.0634999999999999</v>
      </c>
      <c r="K316">
        <v>0.2189505778178864</v>
      </c>
      <c r="L316" s="112">
        <f>VLOOKUP(A316,[3]RESUMEN!$A:$AE,31,1)</f>
        <v>0.57868552168255538</v>
      </c>
      <c r="M316" s="113">
        <f>VLOOKUP(A316,[3]RESUMEN!$A:$AH,34,1)</f>
        <v>-2.3837398134202026</v>
      </c>
      <c r="N316" s="113">
        <f>VLOOKUP(A316,[3]RESUMEN!$A:$AI,35,1)</f>
        <v>-0.90252714586882354</v>
      </c>
    </row>
    <row r="317" spans="1:14" x14ac:dyDescent="0.25">
      <c r="A317" s="102">
        <v>39850</v>
      </c>
      <c r="B317">
        <v>276.18700000000001</v>
      </c>
      <c r="C317">
        <v>316.52499999999998</v>
      </c>
      <c r="D317">
        <v>344.52499999999998</v>
      </c>
      <c r="E317">
        <v>382.95</v>
      </c>
      <c r="F317">
        <v>0.23</v>
      </c>
      <c r="G317">
        <v>0.40100000000000002</v>
      </c>
      <c r="H317">
        <v>0.89300000000000002</v>
      </c>
      <c r="I317">
        <v>2.4270999999999998</v>
      </c>
      <c r="J317">
        <v>2.1539999999999999</v>
      </c>
      <c r="K317">
        <v>0.22585789674676071</v>
      </c>
      <c r="L317" s="112">
        <f>VLOOKUP(A317,[3]RESUMEN!$A:$AE,31,1)</f>
        <v>0.57868552168255538</v>
      </c>
      <c r="M317" s="113">
        <f>VLOOKUP(A317,[3]RESUMEN!$A:$AH,34,1)</f>
        <v>-2.3837398134202026</v>
      </c>
      <c r="N317" s="113">
        <f>VLOOKUP(A317,[3]RESUMEN!$A:$AI,35,1)</f>
        <v>-0.90252714586882354</v>
      </c>
    </row>
    <row r="318" spans="1:14" x14ac:dyDescent="0.25">
      <c r="A318" s="102">
        <v>39857</v>
      </c>
      <c r="B318">
        <v>283.34699999999998</v>
      </c>
      <c r="C318">
        <v>357.34</v>
      </c>
      <c r="D318">
        <v>389.62400000000002</v>
      </c>
      <c r="E318">
        <v>432.64800000000002</v>
      </c>
      <c r="F318">
        <v>0.22</v>
      </c>
      <c r="G318">
        <v>0.4</v>
      </c>
      <c r="H318">
        <v>0.873</v>
      </c>
      <c r="I318">
        <v>2.4270999999999998</v>
      </c>
      <c r="J318">
        <v>2.093</v>
      </c>
      <c r="K318">
        <v>0.25131262776565144</v>
      </c>
      <c r="L318" s="112">
        <f>VLOOKUP(A318,[3]RESUMEN!$A:$AE,31,1)</f>
        <v>0.57868552168255538</v>
      </c>
      <c r="M318" s="113">
        <f>VLOOKUP(A318,[3]RESUMEN!$A:$AH,34,1)</f>
        <v>-2.3837398134202026</v>
      </c>
      <c r="N318" s="113">
        <f>VLOOKUP(A318,[3]RESUMEN!$A:$AI,35,1)</f>
        <v>-0.90252714586882354</v>
      </c>
    </row>
    <row r="319" spans="1:14" x14ac:dyDescent="0.25">
      <c r="A319" s="102">
        <v>39864</v>
      </c>
      <c r="B319">
        <v>348.58499999999998</v>
      </c>
      <c r="C319">
        <v>395.69200000000001</v>
      </c>
      <c r="D319">
        <v>425.44600000000003</v>
      </c>
      <c r="E319">
        <v>471.34800000000001</v>
      </c>
      <c r="F319">
        <v>0.2</v>
      </c>
      <c r="G319">
        <v>0.373</v>
      </c>
      <c r="H319">
        <v>0.81599999999999995</v>
      </c>
      <c r="I319">
        <v>2.4270999999999998</v>
      </c>
      <c r="J319">
        <v>1.99</v>
      </c>
      <c r="K319">
        <v>0.2701883174545171</v>
      </c>
      <c r="L319" s="112">
        <f>VLOOKUP(A319,[3]RESUMEN!$A:$AE,31,1)</f>
        <v>0.57868552168255538</v>
      </c>
      <c r="M319" s="113">
        <f>VLOOKUP(A319,[3]RESUMEN!$A:$AH,34,1)</f>
        <v>-2.3837398134202026</v>
      </c>
      <c r="N319" s="113">
        <f>VLOOKUP(A319,[3]RESUMEN!$A:$AI,35,1)</f>
        <v>-0.90252714586882354</v>
      </c>
    </row>
    <row r="320" spans="1:14" x14ac:dyDescent="0.25">
      <c r="A320" s="102">
        <v>39871</v>
      </c>
      <c r="B320">
        <v>346.00700000000001</v>
      </c>
      <c r="C320">
        <v>397.47300000000001</v>
      </c>
      <c r="D320">
        <v>430.28800000000001</v>
      </c>
      <c r="E320">
        <v>473.22</v>
      </c>
      <c r="F320">
        <v>0.22</v>
      </c>
      <c r="G320">
        <v>0.39100000000000001</v>
      </c>
      <c r="H320">
        <v>0.86350000000000005</v>
      </c>
      <c r="I320">
        <v>2.4270999999999998</v>
      </c>
      <c r="J320">
        <v>2.1680000000000001</v>
      </c>
      <c r="K320">
        <v>0.27115770847499887</v>
      </c>
      <c r="L320" s="112">
        <f>VLOOKUP(A320,[3]RESUMEN!$A:$AE,31,1)</f>
        <v>0.57868552168255538</v>
      </c>
      <c r="M320" s="113">
        <f>VLOOKUP(A320,[3]RESUMEN!$A:$AH,34,1)</f>
        <v>-2.3837398134202026</v>
      </c>
      <c r="N320" s="113">
        <f>VLOOKUP(A320,[3]RESUMEN!$A:$AI,35,1)</f>
        <v>-0.90252714586882354</v>
      </c>
    </row>
    <row r="321" spans="1:14" x14ac:dyDescent="0.25">
      <c r="A321" s="102">
        <v>39878</v>
      </c>
      <c r="B321">
        <v>373.334</v>
      </c>
      <c r="C321">
        <v>422.47199999999998</v>
      </c>
      <c r="D321">
        <v>452.06599999999997</v>
      </c>
      <c r="E321">
        <v>491.99200000000002</v>
      </c>
      <c r="F321">
        <v>0.2</v>
      </c>
      <c r="G321">
        <v>0.40600000000000003</v>
      </c>
      <c r="H321">
        <v>0.84250000000000003</v>
      </c>
      <c r="I321">
        <v>2.4270999999999998</v>
      </c>
      <c r="J321">
        <v>2.0699999999999998</v>
      </c>
      <c r="K321">
        <v>0.27996353920772987</v>
      </c>
      <c r="L321" s="112">
        <f>VLOOKUP(A321,[3]RESUMEN!$A:$AE,31,1)</f>
        <v>0.57868552168255538</v>
      </c>
      <c r="M321" s="113">
        <f>VLOOKUP(A321,[3]RESUMEN!$A:$AH,34,1)</f>
        <v>-2.3837398134202026</v>
      </c>
      <c r="N321" s="113">
        <f>VLOOKUP(A321,[3]RESUMEN!$A:$AI,35,1)</f>
        <v>-0.90252714586882354</v>
      </c>
    </row>
    <row r="322" spans="1:14" x14ac:dyDescent="0.25">
      <c r="A322" s="102">
        <v>39885</v>
      </c>
      <c r="B322">
        <v>320.12400000000002</v>
      </c>
      <c r="C322">
        <v>365.21100000000001</v>
      </c>
      <c r="D322">
        <v>393.31799999999998</v>
      </c>
      <c r="E322">
        <v>436.56900000000002</v>
      </c>
      <c r="F322">
        <v>0.15</v>
      </c>
      <c r="G322">
        <v>0.376</v>
      </c>
      <c r="H322">
        <v>0.76700000000000002</v>
      </c>
      <c r="I322">
        <v>2.4270999999999998</v>
      </c>
      <c r="J322">
        <v>1.946</v>
      </c>
      <c r="K322">
        <v>0.2534730427659172</v>
      </c>
      <c r="L322" s="112">
        <f>VLOOKUP(A322,[3]RESUMEN!$A:$AE,31,1)</f>
        <v>0.57868552168255538</v>
      </c>
      <c r="M322" s="113">
        <f>VLOOKUP(A322,[3]RESUMEN!$A:$AH,34,1)</f>
        <v>-2.3837398134202026</v>
      </c>
      <c r="N322" s="113">
        <f>VLOOKUP(A322,[3]RESUMEN!$A:$AI,35,1)</f>
        <v>-0.90252714586882354</v>
      </c>
    </row>
    <row r="323" spans="1:14" x14ac:dyDescent="0.25">
      <c r="A323" s="102">
        <v>39892</v>
      </c>
      <c r="B323">
        <v>319.37799999999999</v>
      </c>
      <c r="C323">
        <v>354.99299999999999</v>
      </c>
      <c r="D323">
        <v>384.15600000000001</v>
      </c>
      <c r="E323">
        <v>422.911</v>
      </c>
      <c r="F323">
        <v>0.18</v>
      </c>
      <c r="G323">
        <v>0.35299999999999998</v>
      </c>
      <c r="H323">
        <v>0.76749999999999996</v>
      </c>
      <c r="I323">
        <v>2.4270999999999998</v>
      </c>
      <c r="J323">
        <v>1.853</v>
      </c>
      <c r="K323">
        <v>0.24612511325279296</v>
      </c>
      <c r="L323" s="112">
        <f>VLOOKUP(A323,[3]RESUMEN!$A:$AE,31,1)</f>
        <v>0.57868552168255538</v>
      </c>
      <c r="M323" s="113">
        <f>VLOOKUP(A323,[3]RESUMEN!$A:$AH,34,1)</f>
        <v>-2.3837398134202026</v>
      </c>
      <c r="N323" s="113">
        <f>VLOOKUP(A323,[3]RESUMEN!$A:$AI,35,1)</f>
        <v>-0.90252714586882354</v>
      </c>
    </row>
    <row r="324" spans="1:14" x14ac:dyDescent="0.25">
      <c r="A324" s="102">
        <v>39899</v>
      </c>
      <c r="B324">
        <v>284.86700000000002</v>
      </c>
      <c r="C324">
        <v>329.55700000000002</v>
      </c>
      <c r="D324">
        <v>354.53399999999999</v>
      </c>
      <c r="E324">
        <v>388.95499999999998</v>
      </c>
      <c r="F324">
        <v>0.15</v>
      </c>
      <c r="G324">
        <v>0.377</v>
      </c>
      <c r="H324">
        <v>0.75149999999999995</v>
      </c>
      <c r="I324">
        <v>2.4270999999999998</v>
      </c>
      <c r="J324">
        <v>1.863</v>
      </c>
      <c r="K324">
        <v>0.22873010605187172</v>
      </c>
      <c r="L324" s="112">
        <f>VLOOKUP(A324,[3]RESUMEN!$A:$AE,31,1)</f>
        <v>0.57868552168255538</v>
      </c>
      <c r="M324" s="113">
        <f>VLOOKUP(A324,[3]RESUMEN!$A:$AH,34,1)</f>
        <v>-2.3837398134202026</v>
      </c>
      <c r="N324" s="113">
        <f>VLOOKUP(A324,[3]RESUMEN!$A:$AI,35,1)</f>
        <v>-0.90252714586882354</v>
      </c>
    </row>
    <row r="325" spans="1:14" x14ac:dyDescent="0.25">
      <c r="A325" s="102">
        <v>39906</v>
      </c>
      <c r="B325">
        <v>244.625</v>
      </c>
      <c r="C325">
        <v>287.58999999999997</v>
      </c>
      <c r="D325">
        <v>312.75</v>
      </c>
      <c r="E325">
        <v>346.66</v>
      </c>
      <c r="F325">
        <v>0.13</v>
      </c>
      <c r="G325">
        <v>0.374</v>
      </c>
      <c r="H325">
        <v>0.79749999999999999</v>
      </c>
      <c r="I325">
        <v>2.4270999999999998</v>
      </c>
      <c r="J325">
        <v>1.9390000000000001</v>
      </c>
      <c r="K325">
        <v>0.20670538024086715</v>
      </c>
      <c r="L325" s="112">
        <f>VLOOKUP(A325,[3]RESUMEN!$A:$AE,31,1)</f>
        <v>0.45990439118637438</v>
      </c>
      <c r="M325" s="113">
        <f>VLOOKUP(A325,[3]RESUMEN!$A:$AH,34,1)</f>
        <v>-2.831000278934301</v>
      </c>
      <c r="N325" s="113">
        <f>VLOOKUP(A325,[3]RESUMEN!$A:$AI,35,1)</f>
        <v>-1.1855479438739633</v>
      </c>
    </row>
    <row r="326" spans="1:14" x14ac:dyDescent="0.25">
      <c r="A326" s="102">
        <v>39913</v>
      </c>
      <c r="B326">
        <v>224.17500000000001</v>
      </c>
      <c r="C326">
        <v>264.12700000000001</v>
      </c>
      <c r="D326">
        <v>288.2</v>
      </c>
      <c r="E326">
        <v>325.57600000000002</v>
      </c>
      <c r="F326">
        <v>0.15</v>
      </c>
      <c r="G326">
        <v>0.38</v>
      </c>
      <c r="H326">
        <v>0.8145</v>
      </c>
      <c r="I326">
        <v>2.4270999999999998</v>
      </c>
      <c r="J326">
        <v>2.0070000000000001</v>
      </c>
      <c r="K326">
        <v>0.1956713829013661</v>
      </c>
      <c r="L326" s="112">
        <f>VLOOKUP(A326,[3]RESUMEN!$A:$AE,31,1)</f>
        <v>0.45990439118637438</v>
      </c>
      <c r="M326" s="113">
        <f>VLOOKUP(A326,[3]RESUMEN!$A:$AH,34,1)</f>
        <v>-2.831000278934301</v>
      </c>
      <c r="N326" s="113">
        <f>VLOOKUP(A326,[3]RESUMEN!$A:$AI,35,1)</f>
        <v>-1.1855479438739633</v>
      </c>
    </row>
    <row r="327" spans="1:14" x14ac:dyDescent="0.25">
      <c r="A327" s="102">
        <v>39920</v>
      </c>
      <c r="B327">
        <v>216.066</v>
      </c>
      <c r="C327">
        <v>251.78</v>
      </c>
      <c r="D327">
        <v>276.70999999999998</v>
      </c>
      <c r="E327">
        <v>313.43099999999998</v>
      </c>
      <c r="F327">
        <v>0.13</v>
      </c>
      <c r="G327">
        <v>0.3755</v>
      </c>
      <c r="H327">
        <v>0.85099999999999998</v>
      </c>
      <c r="I327">
        <v>2.4270999999999998</v>
      </c>
      <c r="J327">
        <v>2.024</v>
      </c>
      <c r="K327">
        <v>0.18914357333430309</v>
      </c>
      <c r="L327" s="112">
        <f>VLOOKUP(A327,[3]RESUMEN!$A:$AE,31,1)</f>
        <v>0.45990439118637438</v>
      </c>
      <c r="M327" s="113">
        <f>VLOOKUP(A327,[3]RESUMEN!$A:$AH,34,1)</f>
        <v>-2.831000278934301</v>
      </c>
      <c r="N327" s="113">
        <f>VLOOKUP(A327,[3]RESUMEN!$A:$AI,35,1)</f>
        <v>-1.1855479438739633</v>
      </c>
    </row>
    <row r="328" spans="1:14" x14ac:dyDescent="0.25">
      <c r="A328" s="102">
        <v>39927</v>
      </c>
      <c r="B328">
        <v>212.77500000000001</v>
      </c>
      <c r="C328">
        <v>257.93599999999998</v>
      </c>
      <c r="D328">
        <v>278.85700000000003</v>
      </c>
      <c r="E328">
        <v>312.09699999999998</v>
      </c>
      <c r="F328">
        <v>0.16</v>
      </c>
      <c r="G328">
        <v>0.374</v>
      </c>
      <c r="H328">
        <v>0.89</v>
      </c>
      <c r="I328">
        <v>2.4270999999999998</v>
      </c>
      <c r="J328">
        <v>2.0840000000000001</v>
      </c>
      <c r="K328">
        <v>0.18831208343978212</v>
      </c>
      <c r="L328" s="112">
        <f>VLOOKUP(A328,[3]RESUMEN!$A:$AE,31,1)</f>
        <v>0.45990439118637438</v>
      </c>
      <c r="M328" s="113">
        <f>VLOOKUP(A328,[3]RESUMEN!$A:$AH,34,1)</f>
        <v>-2.831000278934301</v>
      </c>
      <c r="N328" s="113">
        <f>VLOOKUP(A328,[3]RESUMEN!$A:$AI,35,1)</f>
        <v>-1.1855479438739633</v>
      </c>
    </row>
    <row r="329" spans="1:14" x14ac:dyDescent="0.25">
      <c r="A329" s="102">
        <v>39934</v>
      </c>
      <c r="B329">
        <v>187.58199999999999</v>
      </c>
      <c r="C329">
        <v>237.05099999999999</v>
      </c>
      <c r="D329">
        <v>261.005</v>
      </c>
      <c r="E329">
        <v>303.20800000000003</v>
      </c>
      <c r="F329">
        <v>0.22</v>
      </c>
      <c r="G329">
        <v>0.35899999999999999</v>
      </c>
      <c r="H329">
        <v>0.83399999999999996</v>
      </c>
      <c r="I329">
        <v>2.4270999999999998</v>
      </c>
      <c r="J329">
        <v>2.1659999999999999</v>
      </c>
      <c r="K329">
        <v>0.18378820452968081</v>
      </c>
      <c r="L329" s="112">
        <f>VLOOKUP(A329,[3]RESUMEN!$A:$AE,31,1)</f>
        <v>0.45990439118637438</v>
      </c>
      <c r="M329" s="113">
        <f>VLOOKUP(A329,[3]RESUMEN!$A:$AH,34,1)</f>
        <v>-2.831000278934301</v>
      </c>
      <c r="N329" s="113">
        <f>VLOOKUP(A329,[3]RESUMEN!$A:$AI,35,1)</f>
        <v>-1.1855479438739633</v>
      </c>
    </row>
    <row r="330" spans="1:14" x14ac:dyDescent="0.25">
      <c r="A330" s="102">
        <v>39941</v>
      </c>
      <c r="B330">
        <v>141.59200000000001</v>
      </c>
      <c r="C330">
        <v>176.03399999999999</v>
      </c>
      <c r="D330">
        <v>201.64</v>
      </c>
      <c r="E330">
        <v>240.90600000000001</v>
      </c>
      <c r="F330">
        <v>0.17</v>
      </c>
      <c r="G330">
        <v>0.38600000000000001</v>
      </c>
      <c r="H330">
        <v>0.88</v>
      </c>
      <c r="I330">
        <v>2.4270999999999998</v>
      </c>
      <c r="J330">
        <v>2.2629999999999999</v>
      </c>
      <c r="K330">
        <v>0.14896583672284536</v>
      </c>
      <c r="L330" s="112">
        <f>VLOOKUP(A330,[3]RESUMEN!$A:$AE,31,1)</f>
        <v>0.45990439118637438</v>
      </c>
      <c r="M330" s="113">
        <f>VLOOKUP(A330,[3]RESUMEN!$A:$AH,34,1)</f>
        <v>-2.831000278934301</v>
      </c>
      <c r="N330" s="113">
        <f>VLOOKUP(A330,[3]RESUMEN!$A:$AI,35,1)</f>
        <v>-1.1855479438739633</v>
      </c>
    </row>
    <row r="331" spans="1:14" x14ac:dyDescent="0.25">
      <c r="A331" s="102">
        <v>39948</v>
      </c>
      <c r="B331">
        <v>146.65</v>
      </c>
      <c r="C331">
        <v>186.34</v>
      </c>
      <c r="D331">
        <v>212.505</v>
      </c>
      <c r="E331">
        <v>255.578</v>
      </c>
      <c r="F331">
        <v>0.17</v>
      </c>
      <c r="G331">
        <v>0.36</v>
      </c>
      <c r="H331">
        <v>0.81299999999999994</v>
      </c>
      <c r="I331">
        <v>2.4270999999999998</v>
      </c>
      <c r="J331">
        <v>2.1070000000000002</v>
      </c>
      <c r="K331">
        <v>0.15746530542931814</v>
      </c>
      <c r="L331" s="112">
        <f>VLOOKUP(A331,[3]RESUMEN!$A:$AE,31,1)</f>
        <v>0.45990439118637438</v>
      </c>
      <c r="M331" s="113">
        <f>VLOOKUP(A331,[3]RESUMEN!$A:$AH,34,1)</f>
        <v>-2.831000278934301</v>
      </c>
      <c r="N331" s="113">
        <f>VLOOKUP(A331,[3]RESUMEN!$A:$AI,35,1)</f>
        <v>-1.1855479438739633</v>
      </c>
    </row>
    <row r="332" spans="1:14" x14ac:dyDescent="0.25">
      <c r="A332" s="102">
        <v>39955</v>
      </c>
      <c r="B332">
        <v>131.01599999999999</v>
      </c>
      <c r="C332">
        <v>166.845</v>
      </c>
      <c r="D332">
        <v>193.67500000000001</v>
      </c>
      <c r="E332">
        <v>237.351</v>
      </c>
      <c r="F332">
        <v>0.17</v>
      </c>
      <c r="G332">
        <v>0.34499999999999997</v>
      </c>
      <c r="H332">
        <v>0.82899999999999996</v>
      </c>
      <c r="I332">
        <v>2.4270999999999998</v>
      </c>
      <c r="J332">
        <v>2.3330000000000002</v>
      </c>
      <c r="K332">
        <v>0.14715853035127047</v>
      </c>
      <c r="L332" s="112">
        <f>VLOOKUP(A332,[3]RESUMEN!$A:$AE,31,1)</f>
        <v>0.45990439118637438</v>
      </c>
      <c r="M332" s="113">
        <f>VLOOKUP(A332,[3]RESUMEN!$A:$AH,34,1)</f>
        <v>-2.831000278934301</v>
      </c>
      <c r="N332" s="113">
        <f>VLOOKUP(A332,[3]RESUMEN!$A:$AI,35,1)</f>
        <v>-1.1855479438739633</v>
      </c>
    </row>
    <row r="333" spans="1:14" x14ac:dyDescent="0.25">
      <c r="A333" s="102">
        <v>39962</v>
      </c>
      <c r="B333">
        <v>123.754</v>
      </c>
      <c r="C333">
        <v>159.15</v>
      </c>
      <c r="D333">
        <v>180.898</v>
      </c>
      <c r="E333">
        <v>221.06</v>
      </c>
      <c r="F333">
        <v>0.19</v>
      </c>
      <c r="G333">
        <v>0.35549999999999998</v>
      </c>
      <c r="H333">
        <v>0.86850000000000005</v>
      </c>
      <c r="I333">
        <v>2.4270999999999998</v>
      </c>
      <c r="J333">
        <v>2.415</v>
      </c>
      <c r="K333">
        <v>0.13771520412607541</v>
      </c>
      <c r="L333" s="112">
        <f>VLOOKUP(A333,[3]RESUMEN!$A:$AE,31,1)</f>
        <v>0.45990439118637438</v>
      </c>
      <c r="M333" s="113">
        <f>VLOOKUP(A333,[3]RESUMEN!$A:$AH,34,1)</f>
        <v>-2.831000278934301</v>
      </c>
      <c r="N333" s="113">
        <f>VLOOKUP(A333,[3]RESUMEN!$A:$AI,35,1)</f>
        <v>-1.1855479438739633</v>
      </c>
    </row>
    <row r="334" spans="1:14" x14ac:dyDescent="0.25">
      <c r="A334" s="102">
        <v>39969</v>
      </c>
      <c r="B334">
        <v>109.997</v>
      </c>
      <c r="C334">
        <v>138.001</v>
      </c>
      <c r="D334">
        <v>164.87299999999999</v>
      </c>
      <c r="E334">
        <v>204.08600000000001</v>
      </c>
      <c r="F334">
        <v>0.21</v>
      </c>
      <c r="G334">
        <v>0.64549999999999996</v>
      </c>
      <c r="H334">
        <v>1.3460000000000001</v>
      </c>
      <c r="I334">
        <v>2.4270999999999998</v>
      </c>
      <c r="J334">
        <v>2.9975000000000001</v>
      </c>
      <c r="K334">
        <v>0.12789808723565166</v>
      </c>
      <c r="L334" s="112">
        <f>VLOOKUP(A334,[3]RESUMEN!$A:$AE,31,1)</f>
        <v>0.45990439118637438</v>
      </c>
      <c r="M334" s="113">
        <f>VLOOKUP(A334,[3]RESUMEN!$A:$AH,34,1)</f>
        <v>-2.831000278934301</v>
      </c>
      <c r="N334" s="113">
        <f>VLOOKUP(A334,[3]RESUMEN!$A:$AI,35,1)</f>
        <v>-1.1855479438739633</v>
      </c>
    </row>
    <row r="335" spans="1:14" x14ac:dyDescent="0.25">
      <c r="A335" s="102">
        <v>39976</v>
      </c>
      <c r="B335">
        <v>110.35</v>
      </c>
      <c r="C335">
        <v>142.18</v>
      </c>
      <c r="D335">
        <v>164.66499999999999</v>
      </c>
      <c r="E335">
        <v>207.791</v>
      </c>
      <c r="F335">
        <v>0.17</v>
      </c>
      <c r="G335">
        <v>0.54</v>
      </c>
      <c r="H335">
        <v>1.2845</v>
      </c>
      <c r="I335">
        <v>2.4270999999999998</v>
      </c>
      <c r="J335">
        <v>2.9050000000000002</v>
      </c>
      <c r="K335">
        <v>0.13011546419097597</v>
      </c>
      <c r="L335" s="112">
        <f>VLOOKUP(A335,[3]RESUMEN!$A:$AE,31,1)</f>
        <v>0.45990439118637438</v>
      </c>
      <c r="M335" s="113">
        <f>VLOOKUP(A335,[3]RESUMEN!$A:$AH,34,1)</f>
        <v>-2.831000278934301</v>
      </c>
      <c r="N335" s="113">
        <f>VLOOKUP(A335,[3]RESUMEN!$A:$AI,35,1)</f>
        <v>-1.1855479438739633</v>
      </c>
    </row>
    <row r="336" spans="1:14" x14ac:dyDescent="0.25">
      <c r="A336" s="102">
        <v>39983</v>
      </c>
      <c r="B336">
        <v>126.54</v>
      </c>
      <c r="C336">
        <v>157.36600000000001</v>
      </c>
      <c r="D336">
        <v>183.52099999999999</v>
      </c>
      <c r="E336">
        <v>225.315</v>
      </c>
      <c r="F336">
        <v>0.25</v>
      </c>
      <c r="G336">
        <v>0.51349999999999996</v>
      </c>
      <c r="H336">
        <v>1.25</v>
      </c>
      <c r="I336">
        <v>2.4270999999999998</v>
      </c>
      <c r="J336">
        <v>2.899</v>
      </c>
      <c r="K336">
        <v>0.14022617667494452</v>
      </c>
      <c r="L336" s="112">
        <f>VLOOKUP(A336,[3]RESUMEN!$A:$AE,31,1)</f>
        <v>0.45990439118637438</v>
      </c>
      <c r="M336" s="113">
        <f>VLOOKUP(A336,[3]RESUMEN!$A:$AH,34,1)</f>
        <v>-2.831000278934301</v>
      </c>
      <c r="N336" s="113">
        <f>VLOOKUP(A336,[3]RESUMEN!$A:$AI,35,1)</f>
        <v>-1.1855479438739633</v>
      </c>
    </row>
    <row r="337" spans="1:14" x14ac:dyDescent="0.25">
      <c r="A337" s="102">
        <v>39990</v>
      </c>
      <c r="B337">
        <v>121.581</v>
      </c>
      <c r="C337">
        <v>152.601</v>
      </c>
      <c r="D337">
        <v>172.566</v>
      </c>
      <c r="E337">
        <v>213.75899999999999</v>
      </c>
      <c r="F337">
        <v>0.18</v>
      </c>
      <c r="G337">
        <v>0.46100000000000002</v>
      </c>
      <c r="H337">
        <v>1.1000000000000001</v>
      </c>
      <c r="I337">
        <v>2.4270999999999998</v>
      </c>
      <c r="J337">
        <v>2.641</v>
      </c>
      <c r="K337">
        <v>0.13350690500048623</v>
      </c>
      <c r="L337" s="112">
        <f>VLOOKUP(A337,[3]RESUMEN!$A:$AE,31,1)</f>
        <v>0.45990439118637438</v>
      </c>
      <c r="M337" s="113">
        <f>VLOOKUP(A337,[3]RESUMEN!$A:$AH,34,1)</f>
        <v>-2.831000278934301</v>
      </c>
      <c r="N337" s="113">
        <f>VLOOKUP(A337,[3]RESUMEN!$A:$AI,35,1)</f>
        <v>-1.1855479438739633</v>
      </c>
    </row>
    <row r="338" spans="1:14" x14ac:dyDescent="0.25">
      <c r="A338" s="102">
        <v>39997</v>
      </c>
      <c r="B338">
        <v>122.73099999999999</v>
      </c>
      <c r="C338">
        <v>144.84200000000001</v>
      </c>
      <c r="D338">
        <v>166.00800000000001</v>
      </c>
      <c r="E338">
        <v>205.98500000000001</v>
      </c>
      <c r="F338">
        <v>0.16</v>
      </c>
      <c r="G338">
        <v>0.41749999999999998</v>
      </c>
      <c r="H338">
        <v>1.0225</v>
      </c>
      <c r="I338">
        <v>2.4270999999999998</v>
      </c>
      <c r="J338">
        <v>2.5659999999999998</v>
      </c>
      <c r="K338">
        <v>0.12896978798700243</v>
      </c>
      <c r="L338" s="112">
        <f>VLOOKUP(A338,[3]RESUMEN!$A:$AE,31,1)</f>
        <v>0.25438489482009002</v>
      </c>
      <c r="M338" s="113">
        <f>VLOOKUP(A338,[3]RESUMEN!$A:$AH,34,1)</f>
        <v>-1.2906623943811792</v>
      </c>
      <c r="N338" s="113">
        <f>VLOOKUP(A338,[3]RESUMEN!$A:$AI,35,1)</f>
        <v>-0.51813874978054464</v>
      </c>
    </row>
    <row r="339" spans="1:14" x14ac:dyDescent="0.25">
      <c r="A339" s="102">
        <v>40004</v>
      </c>
      <c r="B339">
        <v>136.39400000000001</v>
      </c>
      <c r="C339">
        <v>168.10400000000001</v>
      </c>
      <c r="D339">
        <v>189.65</v>
      </c>
      <c r="E339">
        <v>226.315</v>
      </c>
      <c r="F339">
        <v>0.15</v>
      </c>
      <c r="G339">
        <v>0.41349999999999998</v>
      </c>
      <c r="H339">
        <v>0.97599999999999998</v>
      </c>
      <c r="I339">
        <v>2.4270999999999998</v>
      </c>
      <c r="J339">
        <v>2.4079999999999999</v>
      </c>
      <c r="K339">
        <v>0.14063992236800771</v>
      </c>
      <c r="L339" s="112">
        <f>VLOOKUP(A339,[3]RESUMEN!$A:$AE,31,1)</f>
        <v>0.25438489482009002</v>
      </c>
      <c r="M339" s="113">
        <f>VLOOKUP(A339,[3]RESUMEN!$A:$AH,34,1)</f>
        <v>-1.2906623943811792</v>
      </c>
      <c r="N339" s="113">
        <f>VLOOKUP(A339,[3]RESUMEN!$A:$AI,35,1)</f>
        <v>-0.51813874978054464</v>
      </c>
    </row>
    <row r="340" spans="1:14" x14ac:dyDescent="0.25">
      <c r="A340" s="102">
        <v>40011</v>
      </c>
      <c r="B340">
        <v>118.333</v>
      </c>
      <c r="C340">
        <v>151.08600000000001</v>
      </c>
      <c r="D340">
        <v>171.447</v>
      </c>
      <c r="E340">
        <v>207.553</v>
      </c>
      <c r="F340">
        <v>0.15</v>
      </c>
      <c r="G340">
        <v>0.442</v>
      </c>
      <c r="H340">
        <v>1.1240000000000001</v>
      </c>
      <c r="I340">
        <v>2.4270999999999998</v>
      </c>
      <c r="J340">
        <v>2.7444999999999999</v>
      </c>
      <c r="K340">
        <v>0.12980367241860569</v>
      </c>
      <c r="L340" s="112">
        <f>VLOOKUP(A340,[3]RESUMEN!$A:$AE,31,1)</f>
        <v>0.25438489482009002</v>
      </c>
      <c r="M340" s="113">
        <f>VLOOKUP(A340,[3]RESUMEN!$A:$AH,34,1)</f>
        <v>-1.2906623943811792</v>
      </c>
      <c r="N340" s="113">
        <f>VLOOKUP(A340,[3]RESUMEN!$A:$AI,35,1)</f>
        <v>-0.51813874978054464</v>
      </c>
    </row>
    <row r="341" spans="1:14" x14ac:dyDescent="0.25">
      <c r="A341" s="102">
        <v>40018</v>
      </c>
      <c r="B341">
        <v>105.946</v>
      </c>
      <c r="C341">
        <v>129.66900000000001</v>
      </c>
      <c r="D341">
        <v>145.102</v>
      </c>
      <c r="E341">
        <v>180.49799999999999</v>
      </c>
      <c r="F341">
        <v>0.15</v>
      </c>
      <c r="G341">
        <v>0.434</v>
      </c>
      <c r="H341">
        <v>1.0994999999999999</v>
      </c>
      <c r="I341">
        <v>2.4270999999999998</v>
      </c>
      <c r="J341">
        <v>2.7290000000000001</v>
      </c>
      <c r="K341">
        <v>0.11389428564345727</v>
      </c>
      <c r="L341" s="112">
        <f>VLOOKUP(A341,[3]RESUMEN!$A:$AE,31,1)</f>
        <v>0.25438489482009002</v>
      </c>
      <c r="M341" s="113">
        <f>VLOOKUP(A341,[3]RESUMEN!$A:$AH,34,1)</f>
        <v>-1.2906623943811792</v>
      </c>
      <c r="N341" s="113">
        <f>VLOOKUP(A341,[3]RESUMEN!$A:$AI,35,1)</f>
        <v>-0.51813874978054464</v>
      </c>
    </row>
    <row r="342" spans="1:14" x14ac:dyDescent="0.25">
      <c r="A342" s="102">
        <v>40025</v>
      </c>
      <c r="B342">
        <v>98.68</v>
      </c>
      <c r="C342">
        <v>125.01</v>
      </c>
      <c r="D342">
        <v>136.596</v>
      </c>
      <c r="E342">
        <v>171.77500000000001</v>
      </c>
      <c r="F342">
        <v>0.18</v>
      </c>
      <c r="G342">
        <v>0.47499999999999998</v>
      </c>
      <c r="H342">
        <v>1.161</v>
      </c>
      <c r="I342">
        <v>2.4270999999999998</v>
      </c>
      <c r="J342">
        <v>2.6364999999999998</v>
      </c>
      <c r="K342">
        <v>0.10869662041521233</v>
      </c>
      <c r="L342" s="112">
        <f>VLOOKUP(A342,[3]RESUMEN!$A:$AE,31,1)</f>
        <v>0.25438489482009002</v>
      </c>
      <c r="M342" s="113">
        <f>VLOOKUP(A342,[3]RESUMEN!$A:$AH,34,1)</f>
        <v>-1.2906623943811792</v>
      </c>
      <c r="N342" s="113">
        <f>VLOOKUP(A342,[3]RESUMEN!$A:$AI,35,1)</f>
        <v>-0.51813874978054464</v>
      </c>
    </row>
    <row r="343" spans="1:14" x14ac:dyDescent="0.25">
      <c r="A343" s="102">
        <v>40032</v>
      </c>
      <c r="B343">
        <v>88.143000000000001</v>
      </c>
      <c r="C343">
        <v>102.178</v>
      </c>
      <c r="D343">
        <v>116.036</v>
      </c>
      <c r="E343">
        <v>145</v>
      </c>
      <c r="F343">
        <v>0.17</v>
      </c>
      <c r="G343">
        <v>0.57350000000000001</v>
      </c>
      <c r="H343">
        <v>1.415</v>
      </c>
      <c r="I343">
        <v>2.4270999999999998</v>
      </c>
      <c r="J343">
        <v>3.0249999999999999</v>
      </c>
      <c r="K343">
        <v>9.2511962850245211E-2</v>
      </c>
      <c r="L343" s="112">
        <f>VLOOKUP(A343,[3]RESUMEN!$A:$AE,31,1)</f>
        <v>0.25438489482009002</v>
      </c>
      <c r="M343" s="113">
        <f>VLOOKUP(A343,[3]RESUMEN!$A:$AH,34,1)</f>
        <v>-1.2906623943811792</v>
      </c>
      <c r="N343" s="113">
        <f>VLOOKUP(A343,[3]RESUMEN!$A:$AI,35,1)</f>
        <v>-0.51813874978054464</v>
      </c>
    </row>
    <row r="344" spans="1:14" x14ac:dyDescent="0.25">
      <c r="A344" s="102">
        <v>40039</v>
      </c>
      <c r="B344">
        <v>100.501</v>
      </c>
      <c r="C344">
        <v>119.02500000000001</v>
      </c>
      <c r="D344">
        <v>136.036</v>
      </c>
      <c r="E344">
        <v>163.66999999999999</v>
      </c>
      <c r="F344">
        <v>0.15</v>
      </c>
      <c r="G344">
        <v>0.4415</v>
      </c>
      <c r="H344">
        <v>1.167</v>
      </c>
      <c r="I344">
        <v>2.4270999999999998</v>
      </c>
      <c r="J344">
        <v>2.6710000000000003</v>
      </c>
      <c r="K344">
        <v>0.10376398024580624</v>
      </c>
      <c r="L344" s="112">
        <f>VLOOKUP(A344,[3]RESUMEN!$A:$AE,31,1)</f>
        <v>0.25438489482009002</v>
      </c>
      <c r="M344" s="113">
        <f>VLOOKUP(A344,[3]RESUMEN!$A:$AH,34,1)</f>
        <v>-1.2906623943811792</v>
      </c>
      <c r="N344" s="113">
        <f>VLOOKUP(A344,[3]RESUMEN!$A:$AI,35,1)</f>
        <v>-0.51813874978054464</v>
      </c>
    </row>
    <row r="345" spans="1:14" x14ac:dyDescent="0.25">
      <c r="A345" s="102">
        <v>40046</v>
      </c>
      <c r="B345">
        <v>95.668000000000006</v>
      </c>
      <c r="C345">
        <v>114.86499999999999</v>
      </c>
      <c r="D345">
        <v>125.732</v>
      </c>
      <c r="E345">
        <v>157.85499999999999</v>
      </c>
      <c r="F345">
        <v>0.16</v>
      </c>
      <c r="G345">
        <v>0.46899999999999997</v>
      </c>
      <c r="H345">
        <v>1.2355</v>
      </c>
      <c r="I345">
        <v>2.4270999999999998</v>
      </c>
      <c r="J345">
        <v>2.7560000000000002</v>
      </c>
      <c r="K345">
        <v>0.10031275763004577</v>
      </c>
      <c r="L345" s="112">
        <f>VLOOKUP(A345,[3]RESUMEN!$A:$AE,31,1)</f>
        <v>0.25438489482009002</v>
      </c>
      <c r="M345" s="113">
        <f>VLOOKUP(A345,[3]RESUMEN!$A:$AH,34,1)</f>
        <v>-1.2906623943811792</v>
      </c>
      <c r="N345" s="113">
        <f>VLOOKUP(A345,[3]RESUMEN!$A:$AI,35,1)</f>
        <v>-0.51813874978054464</v>
      </c>
    </row>
    <row r="346" spans="1:14" x14ac:dyDescent="0.25">
      <c r="A346" s="102">
        <v>40053</v>
      </c>
      <c r="B346">
        <v>94.018000000000001</v>
      </c>
      <c r="C346">
        <v>119.355</v>
      </c>
      <c r="D346">
        <v>133</v>
      </c>
      <c r="E346">
        <v>164.084</v>
      </c>
      <c r="F346">
        <v>0.14000000000000001</v>
      </c>
      <c r="G346">
        <v>0.41049999999999998</v>
      </c>
      <c r="H346">
        <v>1.1200000000000001</v>
      </c>
      <c r="I346">
        <v>2.4270999999999998</v>
      </c>
      <c r="J346">
        <v>2.6139999999999999</v>
      </c>
      <c r="K346">
        <v>0.10405658168204335</v>
      </c>
      <c r="L346" s="112">
        <f>VLOOKUP(A346,[3]RESUMEN!$A:$AE,31,1)</f>
        <v>0.25438489482009002</v>
      </c>
      <c r="M346" s="113">
        <f>VLOOKUP(A346,[3]RESUMEN!$A:$AH,34,1)</f>
        <v>-1.2906623943811792</v>
      </c>
      <c r="N346" s="113">
        <f>VLOOKUP(A346,[3]RESUMEN!$A:$AI,35,1)</f>
        <v>-0.51813874978054464</v>
      </c>
    </row>
    <row r="347" spans="1:14" x14ac:dyDescent="0.25">
      <c r="A347" s="102">
        <v>40060</v>
      </c>
      <c r="B347">
        <v>94.988</v>
      </c>
      <c r="C347">
        <v>115.726</v>
      </c>
      <c r="D347">
        <v>131.74299999999999</v>
      </c>
      <c r="E347">
        <v>162.16</v>
      </c>
      <c r="F347">
        <v>0.15</v>
      </c>
      <c r="G347">
        <v>0.40600000000000003</v>
      </c>
      <c r="H347">
        <v>1.0625</v>
      </c>
      <c r="I347">
        <v>2.4270999999999998</v>
      </c>
      <c r="J347">
        <v>2.5150000000000001</v>
      </c>
      <c r="K347">
        <v>0.10307159577637026</v>
      </c>
      <c r="L347" s="112">
        <f>VLOOKUP(A347,[3]RESUMEN!$A:$AE,31,1)</f>
        <v>0.25438489482009002</v>
      </c>
      <c r="M347" s="113">
        <f>VLOOKUP(A347,[3]RESUMEN!$A:$AH,34,1)</f>
        <v>-1.2906623943811792</v>
      </c>
      <c r="N347" s="113">
        <f>VLOOKUP(A347,[3]RESUMEN!$A:$AI,35,1)</f>
        <v>-0.51813874978054464</v>
      </c>
    </row>
    <row r="348" spans="1:14" x14ac:dyDescent="0.25">
      <c r="A348" s="102">
        <v>40067</v>
      </c>
      <c r="B348">
        <v>86.591999999999999</v>
      </c>
      <c r="C348">
        <v>107.79900000000001</v>
      </c>
      <c r="D348">
        <v>123.33499999999999</v>
      </c>
      <c r="E348">
        <v>154.42099999999999</v>
      </c>
      <c r="F348">
        <v>0.15</v>
      </c>
      <c r="G348">
        <v>0.39600000000000002</v>
      </c>
      <c r="H348">
        <v>1.012</v>
      </c>
      <c r="I348">
        <v>2.4270999999999998</v>
      </c>
      <c r="J348">
        <v>2.4605000000000001</v>
      </c>
      <c r="K348">
        <v>9.8266660810899964E-2</v>
      </c>
      <c r="L348" s="112">
        <f>VLOOKUP(A348,[3]RESUMEN!$A:$AE,31,1)</f>
        <v>0.25438489482009002</v>
      </c>
      <c r="M348" s="113">
        <f>VLOOKUP(A348,[3]RESUMEN!$A:$AH,34,1)</f>
        <v>-1.2906623943811792</v>
      </c>
      <c r="N348" s="113">
        <f>VLOOKUP(A348,[3]RESUMEN!$A:$AI,35,1)</f>
        <v>-0.51813874978054464</v>
      </c>
    </row>
    <row r="349" spans="1:14" x14ac:dyDescent="0.25">
      <c r="A349" s="102">
        <v>40074</v>
      </c>
      <c r="B349">
        <v>85.313000000000002</v>
      </c>
      <c r="C349">
        <v>100.36</v>
      </c>
      <c r="D349">
        <v>111.35</v>
      </c>
      <c r="E349">
        <v>144.31399999999999</v>
      </c>
      <c r="F349">
        <v>0.16</v>
      </c>
      <c r="G349">
        <v>0.44900000000000001</v>
      </c>
      <c r="H349">
        <v>1.135</v>
      </c>
      <c r="I349">
        <v>2.4270999999999998</v>
      </c>
      <c r="J349">
        <v>2.633</v>
      </c>
      <c r="K349">
        <v>9.2147153369562695E-2</v>
      </c>
      <c r="L349" s="112">
        <f>VLOOKUP(A349,[3]RESUMEN!$A:$AE,31,1)</f>
        <v>0.25438489482009002</v>
      </c>
      <c r="M349" s="113">
        <f>VLOOKUP(A349,[3]RESUMEN!$A:$AH,34,1)</f>
        <v>-1.2906623943811792</v>
      </c>
      <c r="N349" s="113">
        <f>VLOOKUP(A349,[3]RESUMEN!$A:$AI,35,1)</f>
        <v>-0.51813874978054464</v>
      </c>
    </row>
    <row r="350" spans="1:14" x14ac:dyDescent="0.25">
      <c r="A350" s="102">
        <v>40081</v>
      </c>
      <c r="B350">
        <v>95.998000000000005</v>
      </c>
      <c r="C350">
        <v>117.846</v>
      </c>
      <c r="D350">
        <v>130.178</v>
      </c>
      <c r="E350">
        <v>160.714</v>
      </c>
      <c r="F350">
        <v>0.13</v>
      </c>
      <c r="G350">
        <v>0.44600000000000001</v>
      </c>
      <c r="H350">
        <v>1.0880000000000001</v>
      </c>
      <c r="I350">
        <v>2.4270999999999998</v>
      </c>
      <c r="J350">
        <v>2.4729999999999999</v>
      </c>
      <c r="K350">
        <v>0.10175013576596925</v>
      </c>
      <c r="L350" s="112">
        <f>VLOOKUP(A350,[3]RESUMEN!$A:$AE,31,1)</f>
        <v>0.25438489482009002</v>
      </c>
      <c r="M350" s="113">
        <f>VLOOKUP(A350,[3]RESUMEN!$A:$AH,34,1)</f>
        <v>-1.2906623943811792</v>
      </c>
      <c r="N350" s="113">
        <f>VLOOKUP(A350,[3]RESUMEN!$A:$AI,35,1)</f>
        <v>-0.51813874978054464</v>
      </c>
    </row>
    <row r="351" spans="1:14" x14ac:dyDescent="0.25">
      <c r="A351" s="102">
        <v>40088</v>
      </c>
      <c r="B351">
        <v>92.382999999999996</v>
      </c>
      <c r="C351">
        <v>113.089</v>
      </c>
      <c r="D351">
        <v>129.917</v>
      </c>
      <c r="E351">
        <v>162.11000000000001</v>
      </c>
      <c r="F351">
        <v>0.13</v>
      </c>
      <c r="G351">
        <v>0.41549999999999998</v>
      </c>
      <c r="H351">
        <v>1.0275000000000001</v>
      </c>
      <c r="I351">
        <v>2.4270999999999998</v>
      </c>
      <c r="J351">
        <v>2.3980000000000001</v>
      </c>
      <c r="K351">
        <v>0.10271350381177602</v>
      </c>
      <c r="L351" s="112">
        <f>VLOOKUP(A351,[3]RESUMEN!$A:$AE,31,1)</f>
        <v>0.10932235783488234</v>
      </c>
      <c r="M351" s="113">
        <f>VLOOKUP(A351,[3]RESUMEN!$A:$AH,34,1)</f>
        <v>-0.25512328494529701</v>
      </c>
      <c r="N351" s="113">
        <f>VLOOKUP(A351,[3]RESUMEN!$A:$AI,35,1)</f>
        <v>-7.2900463555207337E-2</v>
      </c>
    </row>
    <row r="352" spans="1:14" x14ac:dyDescent="0.25">
      <c r="A352" s="102">
        <v>40095</v>
      </c>
      <c r="B352">
        <v>86.31</v>
      </c>
      <c r="C352">
        <v>100.96899999999999</v>
      </c>
      <c r="D352">
        <v>114.52500000000001</v>
      </c>
      <c r="E352">
        <v>141.661</v>
      </c>
      <c r="F352">
        <v>0.12</v>
      </c>
      <c r="G352">
        <v>0.46300000000000002</v>
      </c>
      <c r="H352">
        <v>1.103</v>
      </c>
      <c r="I352">
        <v>2.4270999999999998</v>
      </c>
      <c r="J352">
        <v>2.508</v>
      </c>
      <c r="K352">
        <v>9.0471266901901548E-2</v>
      </c>
      <c r="L352" s="112">
        <f>VLOOKUP(A352,[3]RESUMEN!$A:$AE,31,1)</f>
        <v>0.10932235783488234</v>
      </c>
      <c r="M352" s="113">
        <f>VLOOKUP(A352,[3]RESUMEN!$A:$AH,34,1)</f>
        <v>-0.25512328494529701</v>
      </c>
      <c r="N352" s="113">
        <f>VLOOKUP(A352,[3]RESUMEN!$A:$AI,35,1)</f>
        <v>-7.2900463555207337E-2</v>
      </c>
    </row>
    <row r="353" spans="1:14" x14ac:dyDescent="0.25">
      <c r="A353" s="102">
        <v>40102</v>
      </c>
      <c r="B353">
        <v>86.102000000000004</v>
      </c>
      <c r="C353">
        <v>102.98399999999999</v>
      </c>
      <c r="D353">
        <v>118.035</v>
      </c>
      <c r="E353">
        <v>146.94999999999999</v>
      </c>
      <c r="F353">
        <v>0.12</v>
      </c>
      <c r="G353">
        <v>0.45100000000000001</v>
      </c>
      <c r="H353">
        <v>1.1234999999999999</v>
      </c>
      <c r="I353">
        <v>2.4270999999999998</v>
      </c>
      <c r="J353">
        <v>2.5295000000000001</v>
      </c>
      <c r="K353">
        <v>9.3716853246801568E-2</v>
      </c>
      <c r="L353" s="112">
        <f>VLOOKUP(A353,[3]RESUMEN!$A:$AE,31,1)</f>
        <v>0.10932235783488234</v>
      </c>
      <c r="M353" s="113">
        <f>VLOOKUP(A353,[3]RESUMEN!$A:$AH,34,1)</f>
        <v>-0.25512328494529701</v>
      </c>
      <c r="N353" s="113">
        <f>VLOOKUP(A353,[3]RESUMEN!$A:$AI,35,1)</f>
        <v>-7.2900463555207337E-2</v>
      </c>
    </row>
    <row r="354" spans="1:14" x14ac:dyDescent="0.25">
      <c r="A354" s="102">
        <v>40109</v>
      </c>
      <c r="B354">
        <v>90.102999999999994</v>
      </c>
      <c r="C354">
        <v>113.867</v>
      </c>
      <c r="D354">
        <v>129.25800000000001</v>
      </c>
      <c r="E354">
        <v>159.81800000000001</v>
      </c>
      <c r="F354">
        <v>0.11</v>
      </c>
      <c r="G354">
        <v>0.46899999999999997</v>
      </c>
      <c r="H354">
        <v>1.1535</v>
      </c>
      <c r="I354">
        <v>2.4270999999999998</v>
      </c>
      <c r="J354">
        <v>2.5840000000000001</v>
      </c>
      <c r="K354">
        <v>0.10149669014544294</v>
      </c>
      <c r="L354" s="112">
        <f>VLOOKUP(A354,[3]RESUMEN!$A:$AE,31,1)</f>
        <v>0.10932235783488234</v>
      </c>
      <c r="M354" s="113">
        <f>VLOOKUP(A354,[3]RESUMEN!$A:$AH,34,1)</f>
        <v>-0.25512328494529701</v>
      </c>
      <c r="N354" s="113">
        <f>VLOOKUP(A354,[3]RESUMEN!$A:$AI,35,1)</f>
        <v>-7.2900463555207337E-2</v>
      </c>
    </row>
    <row r="355" spans="1:14" x14ac:dyDescent="0.25">
      <c r="A355" s="102">
        <v>40116</v>
      </c>
      <c r="B355">
        <v>93.334000000000003</v>
      </c>
      <c r="C355">
        <v>116.577</v>
      </c>
      <c r="D355">
        <v>134.05199999999999</v>
      </c>
      <c r="E355">
        <v>167.792</v>
      </c>
      <c r="F355">
        <v>0.11</v>
      </c>
      <c r="G355">
        <v>0.40100000000000002</v>
      </c>
      <c r="H355">
        <v>1.0189999999999999</v>
      </c>
      <c r="I355">
        <v>2.4270999999999998</v>
      </c>
      <c r="J355">
        <v>2.4470000000000001</v>
      </c>
      <c r="K355">
        <v>0.10633844603850728</v>
      </c>
      <c r="L355" s="112">
        <f>VLOOKUP(A355,[3]RESUMEN!$A:$AE,31,1)</f>
        <v>0.10932235783488234</v>
      </c>
      <c r="M355" s="113">
        <f>VLOOKUP(A355,[3]RESUMEN!$A:$AH,34,1)</f>
        <v>-0.25512328494529701</v>
      </c>
      <c r="N355" s="113">
        <f>VLOOKUP(A355,[3]RESUMEN!$A:$AI,35,1)</f>
        <v>-7.2900463555207337E-2</v>
      </c>
    </row>
    <row r="356" spans="1:14" x14ac:dyDescent="0.25">
      <c r="A356" s="102">
        <v>40123</v>
      </c>
      <c r="B356">
        <v>86.325000000000003</v>
      </c>
      <c r="C356">
        <v>106.884</v>
      </c>
      <c r="D356">
        <v>121.952</v>
      </c>
      <c r="E356">
        <v>157.042</v>
      </c>
      <c r="F356">
        <v>0.12</v>
      </c>
      <c r="G356">
        <v>0.34899999999999998</v>
      </c>
      <c r="H356">
        <v>0.96899999999999997</v>
      </c>
      <c r="I356">
        <v>2.4270999999999998</v>
      </c>
      <c r="J356">
        <v>2.4449999999999998</v>
      </c>
      <c r="K356">
        <v>9.9898695244025948E-2</v>
      </c>
      <c r="L356" s="112">
        <f>VLOOKUP(A356,[3]RESUMEN!$A:$AE,31,1)</f>
        <v>0.10932235783488234</v>
      </c>
      <c r="M356" s="113">
        <f>VLOOKUP(A356,[3]RESUMEN!$A:$AH,34,1)</f>
        <v>-0.25512328494529701</v>
      </c>
      <c r="N356" s="113">
        <f>VLOOKUP(A356,[3]RESUMEN!$A:$AI,35,1)</f>
        <v>-7.2900463555207337E-2</v>
      </c>
    </row>
    <row r="357" spans="1:14" x14ac:dyDescent="0.25">
      <c r="A357" s="102">
        <v>40130</v>
      </c>
      <c r="B357">
        <v>85.027000000000001</v>
      </c>
      <c r="C357">
        <v>101.001</v>
      </c>
      <c r="D357">
        <v>115.11499999999999</v>
      </c>
      <c r="E357">
        <v>149.21899999999999</v>
      </c>
      <c r="F357">
        <v>0.12</v>
      </c>
      <c r="G357">
        <v>0.32</v>
      </c>
      <c r="H357">
        <v>0.92049999999999998</v>
      </c>
      <c r="I357">
        <v>2.4270999999999998</v>
      </c>
      <c r="J357">
        <v>2.363</v>
      </c>
      <c r="K357">
        <v>9.5157392710110367E-2</v>
      </c>
      <c r="L357" s="112">
        <f>VLOOKUP(A357,[3]RESUMEN!$A:$AE,31,1)</f>
        <v>0.10932235783488234</v>
      </c>
      <c r="M357" s="113">
        <f>VLOOKUP(A357,[3]RESUMEN!$A:$AH,34,1)</f>
        <v>-0.25512328494529701</v>
      </c>
      <c r="N357" s="113">
        <f>VLOOKUP(A357,[3]RESUMEN!$A:$AI,35,1)</f>
        <v>-7.2900463555207337E-2</v>
      </c>
    </row>
    <row r="358" spans="1:14" x14ac:dyDescent="0.25">
      <c r="A358" s="102">
        <v>40137</v>
      </c>
      <c r="B358">
        <v>86.667000000000002</v>
      </c>
      <c r="C358">
        <v>102.98099999999999</v>
      </c>
      <c r="D358">
        <v>115.11799999999999</v>
      </c>
      <c r="E358">
        <v>149.49600000000001</v>
      </c>
      <c r="F358">
        <v>0.11</v>
      </c>
      <c r="G358">
        <v>0.28000000000000003</v>
      </c>
      <c r="H358">
        <v>0.84499999999999997</v>
      </c>
      <c r="I358">
        <v>2.4270999999999998</v>
      </c>
      <c r="J358">
        <v>2.2999999999999998</v>
      </c>
      <c r="K358">
        <v>9.5157392710110367E-2</v>
      </c>
      <c r="L358" s="112">
        <f>VLOOKUP(A358,[3]RESUMEN!$A:$AE,31,1)</f>
        <v>0.10932235783488234</v>
      </c>
      <c r="M358" s="113">
        <f>VLOOKUP(A358,[3]RESUMEN!$A:$AH,34,1)</f>
        <v>-0.25512328494529701</v>
      </c>
      <c r="N358" s="113">
        <f>VLOOKUP(A358,[3]RESUMEN!$A:$AI,35,1)</f>
        <v>-7.2900463555207337E-2</v>
      </c>
    </row>
    <row r="359" spans="1:14" x14ac:dyDescent="0.25">
      <c r="A359" s="102">
        <v>40144</v>
      </c>
      <c r="B359">
        <v>86.649000000000001</v>
      </c>
      <c r="C359">
        <v>104.91200000000001</v>
      </c>
      <c r="D359">
        <v>118.343</v>
      </c>
      <c r="E359">
        <v>153.083</v>
      </c>
      <c r="F359">
        <v>0.12</v>
      </c>
      <c r="G359">
        <v>0.28649999999999998</v>
      </c>
      <c r="H359">
        <v>0.78600000000000003</v>
      </c>
      <c r="I359">
        <v>2.4270999999999998</v>
      </c>
      <c r="J359">
        <v>2.141</v>
      </c>
      <c r="K359">
        <v>9.7502202846457386E-2</v>
      </c>
      <c r="L359" s="112">
        <f>VLOOKUP(A359,[3]RESUMEN!$A:$AE,31,1)</f>
        <v>0.10932235783488234</v>
      </c>
      <c r="M359" s="113">
        <f>VLOOKUP(A359,[3]RESUMEN!$A:$AH,34,1)</f>
        <v>-0.25512328494529701</v>
      </c>
      <c r="N359" s="113">
        <f>VLOOKUP(A359,[3]RESUMEN!$A:$AI,35,1)</f>
        <v>-7.2900463555207337E-2</v>
      </c>
    </row>
    <row r="360" spans="1:14" x14ac:dyDescent="0.25">
      <c r="A360" s="102">
        <v>40151</v>
      </c>
      <c r="B360">
        <v>83.305000000000007</v>
      </c>
      <c r="C360">
        <v>99.435000000000002</v>
      </c>
      <c r="D360">
        <v>111.684</v>
      </c>
      <c r="E360">
        <v>145.11799999999999</v>
      </c>
      <c r="F360">
        <v>0.12</v>
      </c>
      <c r="G360">
        <v>0.40100000000000002</v>
      </c>
      <c r="H360">
        <v>0.99099999999999999</v>
      </c>
      <c r="I360">
        <v>2.4270999999999998</v>
      </c>
      <c r="J360">
        <v>2.4</v>
      </c>
      <c r="K360">
        <v>9.2654729001045766E-2</v>
      </c>
      <c r="L360" s="112">
        <f>VLOOKUP(A360,[3]RESUMEN!$A:$AE,31,1)</f>
        <v>0.10932235783488234</v>
      </c>
      <c r="M360" s="113">
        <f>VLOOKUP(A360,[3]RESUMEN!$A:$AH,34,1)</f>
        <v>-0.25512328494529701</v>
      </c>
      <c r="N360" s="113">
        <f>VLOOKUP(A360,[3]RESUMEN!$A:$AI,35,1)</f>
        <v>-7.2900463555207337E-2</v>
      </c>
    </row>
    <row r="361" spans="1:14" x14ac:dyDescent="0.25">
      <c r="A361" s="102">
        <v>40158</v>
      </c>
      <c r="B361">
        <v>84.622</v>
      </c>
      <c r="C361">
        <v>101.465</v>
      </c>
      <c r="D361">
        <v>114.81</v>
      </c>
      <c r="E361">
        <v>149.03</v>
      </c>
      <c r="F361">
        <v>0.12</v>
      </c>
      <c r="G361">
        <v>0.3745</v>
      </c>
      <c r="H361">
        <v>0.93400000000000005</v>
      </c>
      <c r="I361">
        <v>2.4270999999999998</v>
      </c>
      <c r="J361">
        <v>2.411</v>
      </c>
      <c r="K361">
        <v>9.504581466800055E-2</v>
      </c>
      <c r="L361" s="112">
        <f>VLOOKUP(A361,[3]RESUMEN!$A:$AE,31,1)</f>
        <v>0.10932235783488234</v>
      </c>
      <c r="M361" s="113">
        <f>VLOOKUP(A361,[3]RESUMEN!$A:$AH,34,1)</f>
        <v>-0.25512328494529701</v>
      </c>
      <c r="N361" s="113">
        <f>VLOOKUP(A361,[3]RESUMEN!$A:$AI,35,1)</f>
        <v>-7.2900463555207337E-2</v>
      </c>
    </row>
    <row r="362" spans="1:14" x14ac:dyDescent="0.25">
      <c r="A362" s="102">
        <v>40165</v>
      </c>
      <c r="B362">
        <v>79.144000000000005</v>
      </c>
      <c r="C362">
        <v>97.317999999999998</v>
      </c>
      <c r="D362">
        <v>112.627</v>
      </c>
      <c r="E362">
        <v>147.66200000000001</v>
      </c>
      <c r="F362">
        <v>0.12</v>
      </c>
      <c r="G362">
        <v>0.36899999999999999</v>
      </c>
      <c r="H362">
        <v>0.93100000000000005</v>
      </c>
      <c r="I362">
        <v>2.4270999999999998</v>
      </c>
      <c r="J362">
        <v>2.4355000000000002</v>
      </c>
      <c r="K362">
        <v>9.4141576770590651E-2</v>
      </c>
      <c r="L362" s="112">
        <f>VLOOKUP(A362,[3]RESUMEN!$A:$AE,31,1)</f>
        <v>0.10932235783488234</v>
      </c>
      <c r="M362" s="113">
        <f>VLOOKUP(A362,[3]RESUMEN!$A:$AH,34,1)</f>
        <v>-0.25512328494529701</v>
      </c>
      <c r="N362" s="113">
        <f>VLOOKUP(A362,[3]RESUMEN!$A:$AI,35,1)</f>
        <v>-7.2900463555207337E-2</v>
      </c>
    </row>
    <row r="363" spans="1:14" x14ac:dyDescent="0.25">
      <c r="A363" s="102">
        <v>40172</v>
      </c>
      <c r="B363">
        <v>83.385999999999996</v>
      </c>
      <c r="C363">
        <v>98.117000000000004</v>
      </c>
      <c r="D363">
        <v>110.639</v>
      </c>
      <c r="E363">
        <v>142.06700000000001</v>
      </c>
      <c r="F363">
        <v>0.11</v>
      </c>
      <c r="G363">
        <v>0.45100000000000001</v>
      </c>
      <c r="H363">
        <v>1.1219999999999999</v>
      </c>
      <c r="I363">
        <v>2.4270999999999998</v>
      </c>
      <c r="J363">
        <v>2.6959999999999997</v>
      </c>
      <c r="K363">
        <v>9.0780142233192085E-2</v>
      </c>
      <c r="L363" s="112">
        <f>VLOOKUP(A363,[3]RESUMEN!$A:$AE,31,1)</f>
        <v>0.10932235783488234</v>
      </c>
      <c r="M363" s="113">
        <f>VLOOKUP(A363,[3]RESUMEN!$A:$AH,34,1)</f>
        <v>-0.25512328494529701</v>
      </c>
      <c r="N363" s="113">
        <f>VLOOKUP(A363,[3]RESUMEN!$A:$AI,35,1)</f>
        <v>-7.2900463555207337E-2</v>
      </c>
    </row>
    <row r="364" spans="1:14" x14ac:dyDescent="0.25">
      <c r="A364" s="102">
        <v>40179</v>
      </c>
      <c r="B364">
        <v>76.004999999999995</v>
      </c>
      <c r="C364">
        <v>93.837999999999994</v>
      </c>
      <c r="D364">
        <v>109.8</v>
      </c>
      <c r="E364">
        <v>143.26900000000001</v>
      </c>
      <c r="F364">
        <v>0.05</v>
      </c>
      <c r="G364">
        <v>0.50600000000000001</v>
      </c>
      <c r="H364">
        <v>1.2150000000000001</v>
      </c>
      <c r="I364">
        <v>2.4270999999999998</v>
      </c>
      <c r="J364">
        <v>2.7850000000000001</v>
      </c>
      <c r="K364">
        <v>9.164502012596798E-2</v>
      </c>
      <c r="L364" s="112">
        <f>VLOOKUP(A364,[3]RESUMEN!$A:$AE,31,1)</f>
        <v>0.10096597161027879</v>
      </c>
      <c r="M364" s="113">
        <f>VLOOKUP(A364,[3]RESUMEN!$A:$AH,34,1)</f>
        <v>-2.5035897001945195E-2</v>
      </c>
      <c r="N364" s="113">
        <f>VLOOKUP(A364,[3]RESUMEN!$A:$AI,35,1)</f>
        <v>3.7965037304166796E-2</v>
      </c>
    </row>
    <row r="365" spans="1:14" x14ac:dyDescent="0.25">
      <c r="A365" s="102">
        <v>40186</v>
      </c>
      <c r="B365">
        <v>70.908000000000001</v>
      </c>
      <c r="C365">
        <v>83.71</v>
      </c>
      <c r="D365">
        <v>99.100999999999999</v>
      </c>
      <c r="E365">
        <v>131.864</v>
      </c>
      <c r="F365">
        <v>0.11</v>
      </c>
      <c r="G365">
        <v>0.38750000000000001</v>
      </c>
      <c r="H365">
        <v>1.0545</v>
      </c>
      <c r="I365">
        <v>2.4270999999999998</v>
      </c>
      <c r="J365">
        <v>2.6920000000000002</v>
      </c>
      <c r="K365">
        <v>8.4588801392862067E-2</v>
      </c>
      <c r="L365" s="112">
        <f>VLOOKUP(A365,[3]RESUMEN!$A:$AE,31,1)</f>
        <v>0.10096597161027879</v>
      </c>
      <c r="M365" s="113">
        <f>VLOOKUP(A365,[3]RESUMEN!$A:$AH,34,1)</f>
        <v>-2.5035897001945195E-2</v>
      </c>
      <c r="N365" s="113">
        <f>VLOOKUP(A365,[3]RESUMEN!$A:$AI,35,1)</f>
        <v>3.7965037304166796E-2</v>
      </c>
    </row>
    <row r="366" spans="1:14" x14ac:dyDescent="0.25">
      <c r="A366" s="102">
        <v>40193</v>
      </c>
      <c r="B366">
        <v>79.375</v>
      </c>
      <c r="C366">
        <v>96.259</v>
      </c>
      <c r="D366">
        <v>111.822</v>
      </c>
      <c r="E366">
        <v>144.72800000000001</v>
      </c>
      <c r="F366">
        <v>0.12</v>
      </c>
      <c r="G366">
        <v>0.34799999999999998</v>
      </c>
      <c r="H366">
        <v>0.95650000000000002</v>
      </c>
      <c r="I366">
        <v>2.4270999999999998</v>
      </c>
      <c r="J366">
        <v>2.4855</v>
      </c>
      <c r="K366">
        <v>9.242776723430568E-2</v>
      </c>
      <c r="L366" s="112">
        <f>VLOOKUP(A366,[3]RESUMEN!$A:$AE,31,1)</f>
        <v>0.10096597161027879</v>
      </c>
      <c r="M366" s="113">
        <f>VLOOKUP(A366,[3]RESUMEN!$A:$AH,34,1)</f>
        <v>-2.5035897001945195E-2</v>
      </c>
      <c r="N366" s="113">
        <f>VLOOKUP(A366,[3]RESUMEN!$A:$AI,35,1)</f>
        <v>3.7965037304166796E-2</v>
      </c>
    </row>
    <row r="367" spans="1:14" x14ac:dyDescent="0.25">
      <c r="A367" s="102">
        <v>40200</v>
      </c>
      <c r="B367">
        <v>86.754000000000005</v>
      </c>
      <c r="C367">
        <v>106.342</v>
      </c>
      <c r="D367">
        <v>123.151</v>
      </c>
      <c r="E367">
        <v>158.77799999999999</v>
      </c>
      <c r="F367">
        <v>0.11</v>
      </c>
      <c r="G367">
        <v>0.32</v>
      </c>
      <c r="H367">
        <v>0.90800000000000003</v>
      </c>
      <c r="I367">
        <v>2.4270999999999998</v>
      </c>
      <c r="J367">
        <v>2.4525000000000001</v>
      </c>
      <c r="K367">
        <v>0.10095462306850234</v>
      </c>
      <c r="L367" s="112">
        <f>VLOOKUP(A367,[3]RESUMEN!$A:$AE,31,1)</f>
        <v>0.10096597161027879</v>
      </c>
      <c r="M367" s="113">
        <f>VLOOKUP(A367,[3]RESUMEN!$A:$AH,34,1)</f>
        <v>-2.5035897001945195E-2</v>
      </c>
      <c r="N367" s="113">
        <f>VLOOKUP(A367,[3]RESUMEN!$A:$AI,35,1)</f>
        <v>3.7965037304166796E-2</v>
      </c>
    </row>
    <row r="368" spans="1:14" x14ac:dyDescent="0.25">
      <c r="A368" s="102">
        <v>40207</v>
      </c>
      <c r="B368">
        <v>92.936999999999998</v>
      </c>
      <c r="C368">
        <v>115.464</v>
      </c>
      <c r="D368">
        <v>132.548</v>
      </c>
      <c r="E368">
        <v>168.16800000000001</v>
      </c>
      <c r="F368">
        <v>0.12</v>
      </c>
      <c r="G368">
        <v>0.32</v>
      </c>
      <c r="H368">
        <v>0.89649999999999996</v>
      </c>
      <c r="I368">
        <v>2.4270999999999998</v>
      </c>
      <c r="J368">
        <v>2.4224999999999999</v>
      </c>
      <c r="K368">
        <v>0.10658852015049658</v>
      </c>
      <c r="L368" s="112">
        <f>VLOOKUP(A368,[3]RESUMEN!$A:$AE,31,1)</f>
        <v>0.10096597161027879</v>
      </c>
      <c r="M368" s="113">
        <f>VLOOKUP(A368,[3]RESUMEN!$A:$AH,34,1)</f>
        <v>-2.5035897001945195E-2</v>
      </c>
      <c r="N368" s="113">
        <f>VLOOKUP(A368,[3]RESUMEN!$A:$AI,35,1)</f>
        <v>3.7965037304166796E-2</v>
      </c>
    </row>
    <row r="369" spans="1:14" x14ac:dyDescent="0.25">
      <c r="A369" s="102">
        <v>40214</v>
      </c>
      <c r="B369">
        <v>99.751000000000005</v>
      </c>
      <c r="C369">
        <v>121.599</v>
      </c>
      <c r="D369">
        <v>139.08099999999999</v>
      </c>
      <c r="E369">
        <v>177.006</v>
      </c>
      <c r="F369">
        <v>0.13</v>
      </c>
      <c r="G369">
        <v>0.311</v>
      </c>
      <c r="H369">
        <v>0.84199999999999997</v>
      </c>
      <c r="I369">
        <v>2.4270999999999998</v>
      </c>
      <c r="J369">
        <v>2.3425000000000002</v>
      </c>
      <c r="K369">
        <v>0.1118861232038777</v>
      </c>
      <c r="L369" s="112">
        <f>VLOOKUP(A369,[3]RESUMEN!$A:$AE,31,1)</f>
        <v>0.10096597161027879</v>
      </c>
      <c r="M369" s="113">
        <f>VLOOKUP(A369,[3]RESUMEN!$A:$AH,34,1)</f>
        <v>-2.5035897001945195E-2</v>
      </c>
      <c r="N369" s="113">
        <f>VLOOKUP(A369,[3]RESUMEN!$A:$AI,35,1)</f>
        <v>3.7965037304166796E-2</v>
      </c>
    </row>
    <row r="370" spans="1:14" x14ac:dyDescent="0.25">
      <c r="A370" s="102">
        <v>40221</v>
      </c>
      <c r="B370">
        <v>92.512</v>
      </c>
      <c r="C370">
        <v>114.309</v>
      </c>
      <c r="D370">
        <v>132.55799999999999</v>
      </c>
      <c r="E370">
        <v>167.1</v>
      </c>
      <c r="F370">
        <v>0.12</v>
      </c>
      <c r="G370">
        <v>0.34799999999999998</v>
      </c>
      <c r="H370">
        <v>0.92700000000000005</v>
      </c>
      <c r="I370">
        <v>2.4270999999999998</v>
      </c>
      <c r="J370">
        <v>2.4135</v>
      </c>
      <c r="K370">
        <v>0.10593976710638175</v>
      </c>
      <c r="L370" s="112">
        <f>VLOOKUP(A370,[3]RESUMEN!$A:$AE,31,1)</f>
        <v>0.10096597161027879</v>
      </c>
      <c r="M370" s="113">
        <f>VLOOKUP(A370,[3]RESUMEN!$A:$AH,34,1)</f>
        <v>-2.5035897001945195E-2</v>
      </c>
      <c r="N370" s="113">
        <f>VLOOKUP(A370,[3]RESUMEN!$A:$AI,35,1)</f>
        <v>3.7965037304166796E-2</v>
      </c>
    </row>
    <row r="371" spans="1:14" x14ac:dyDescent="0.25">
      <c r="A371" s="102">
        <v>40228</v>
      </c>
      <c r="B371">
        <v>87.700999999999993</v>
      </c>
      <c r="C371">
        <v>109.46899999999999</v>
      </c>
      <c r="D371">
        <v>125.529</v>
      </c>
      <c r="E371">
        <v>159.233</v>
      </c>
      <c r="F371">
        <v>0.13</v>
      </c>
      <c r="G371">
        <v>0.378</v>
      </c>
      <c r="H371">
        <v>0.97499999999999998</v>
      </c>
      <c r="I371">
        <v>2.4270999999999998</v>
      </c>
      <c r="J371">
        <v>2.5305</v>
      </c>
      <c r="K371">
        <v>0.10120477341521372</v>
      </c>
      <c r="L371" s="112">
        <f>VLOOKUP(A371,[3]RESUMEN!$A:$AE,31,1)</f>
        <v>0.10096597161027879</v>
      </c>
      <c r="M371" s="113">
        <f>VLOOKUP(A371,[3]RESUMEN!$A:$AH,34,1)</f>
        <v>-2.5035897001945195E-2</v>
      </c>
      <c r="N371" s="113">
        <f>VLOOKUP(A371,[3]RESUMEN!$A:$AI,35,1)</f>
        <v>3.7965037304166796E-2</v>
      </c>
    </row>
    <row r="372" spans="1:14" x14ac:dyDescent="0.25">
      <c r="A372" s="102">
        <v>40235</v>
      </c>
      <c r="B372">
        <v>85.843999999999994</v>
      </c>
      <c r="C372">
        <v>107.322</v>
      </c>
      <c r="D372">
        <v>124.622</v>
      </c>
      <c r="E372">
        <v>156.99199999999999</v>
      </c>
      <c r="F372">
        <v>0.13</v>
      </c>
      <c r="G372">
        <v>0.30399999999999999</v>
      </c>
      <c r="H372">
        <v>0.83550000000000002</v>
      </c>
      <c r="I372">
        <v>2.4270999999999998</v>
      </c>
      <c r="J372">
        <v>2.36</v>
      </c>
      <c r="K372">
        <v>0.100245246646262</v>
      </c>
      <c r="L372" s="112">
        <f>VLOOKUP(A372,[3]RESUMEN!$A:$AE,31,1)</f>
        <v>0.10096597161027879</v>
      </c>
      <c r="M372" s="113">
        <f>VLOOKUP(A372,[3]RESUMEN!$A:$AH,34,1)</f>
        <v>-2.5035897001945195E-2</v>
      </c>
      <c r="N372" s="113">
        <f>VLOOKUP(A372,[3]RESUMEN!$A:$AI,35,1)</f>
        <v>3.7965037304166796E-2</v>
      </c>
    </row>
    <row r="373" spans="1:14" x14ac:dyDescent="0.25">
      <c r="A373" s="102">
        <v>40242</v>
      </c>
      <c r="B373">
        <v>82.004000000000005</v>
      </c>
      <c r="C373">
        <v>101.431</v>
      </c>
      <c r="D373">
        <v>116.66800000000001</v>
      </c>
      <c r="E373">
        <v>146.178</v>
      </c>
      <c r="F373">
        <v>0.17</v>
      </c>
      <c r="G373">
        <v>0.36499999999999999</v>
      </c>
      <c r="H373">
        <v>0.91400000000000003</v>
      </c>
      <c r="I373">
        <v>2.4270999999999998</v>
      </c>
      <c r="J373">
        <v>2.3890000000000002</v>
      </c>
      <c r="K373">
        <v>9.3257982285455454E-2</v>
      </c>
      <c r="L373" s="112">
        <f>VLOOKUP(A373,[3]RESUMEN!$A:$AE,31,1)</f>
        <v>0.10096597161027879</v>
      </c>
      <c r="M373" s="113">
        <f>VLOOKUP(A373,[3]RESUMEN!$A:$AH,34,1)</f>
        <v>-2.5035897001945195E-2</v>
      </c>
      <c r="N373" s="113">
        <f>VLOOKUP(A373,[3]RESUMEN!$A:$AI,35,1)</f>
        <v>3.7965037304166796E-2</v>
      </c>
    </row>
    <row r="374" spans="1:14" x14ac:dyDescent="0.25">
      <c r="A374" s="102">
        <v>40249</v>
      </c>
      <c r="B374">
        <v>76.712000000000003</v>
      </c>
      <c r="C374">
        <v>91.683000000000007</v>
      </c>
      <c r="D374">
        <v>110.217</v>
      </c>
      <c r="E374">
        <v>137.95699999999999</v>
      </c>
      <c r="F374">
        <v>0.17</v>
      </c>
      <c r="G374">
        <v>0.40400000000000003</v>
      </c>
      <c r="H374">
        <v>0.96299999999999997</v>
      </c>
      <c r="I374">
        <v>2.4270999999999998</v>
      </c>
      <c r="J374">
        <v>2.4460000000000002</v>
      </c>
      <c r="K374">
        <v>8.8261180090870806E-2</v>
      </c>
      <c r="L374" s="112">
        <f>VLOOKUP(A374,[3]RESUMEN!$A:$AE,31,1)</f>
        <v>0.10096597161027879</v>
      </c>
      <c r="M374" s="113">
        <f>VLOOKUP(A374,[3]RESUMEN!$A:$AH,34,1)</f>
        <v>-2.5035897001945195E-2</v>
      </c>
      <c r="N374" s="113">
        <f>VLOOKUP(A374,[3]RESUMEN!$A:$AI,35,1)</f>
        <v>3.7965037304166796E-2</v>
      </c>
    </row>
    <row r="375" spans="1:14" x14ac:dyDescent="0.25">
      <c r="A375" s="102">
        <v>40256</v>
      </c>
      <c r="B375">
        <v>72.260000000000005</v>
      </c>
      <c r="C375">
        <v>94.001999999999995</v>
      </c>
      <c r="D375">
        <v>109.768</v>
      </c>
      <c r="E375">
        <v>139.46899999999999</v>
      </c>
      <c r="F375">
        <v>0.18</v>
      </c>
      <c r="G375">
        <v>0.41799999999999998</v>
      </c>
      <c r="H375">
        <v>0.98550000000000004</v>
      </c>
      <c r="I375">
        <v>2.4270999999999998</v>
      </c>
      <c r="J375">
        <v>2.4779999999999998</v>
      </c>
      <c r="K375">
        <v>8.9103253260876758E-2</v>
      </c>
      <c r="L375" s="112">
        <f>VLOOKUP(A375,[3]RESUMEN!$A:$AE,31,1)</f>
        <v>0.10096597161027879</v>
      </c>
      <c r="M375" s="113">
        <f>VLOOKUP(A375,[3]RESUMEN!$A:$AH,34,1)</f>
        <v>-2.5035897001945195E-2</v>
      </c>
      <c r="N375" s="113">
        <f>VLOOKUP(A375,[3]RESUMEN!$A:$AI,35,1)</f>
        <v>3.7965037304166796E-2</v>
      </c>
    </row>
    <row r="376" spans="1:14" x14ac:dyDescent="0.25">
      <c r="A376" s="102">
        <v>40263</v>
      </c>
      <c r="B376">
        <v>78.343999999999994</v>
      </c>
      <c r="C376">
        <v>101.68</v>
      </c>
      <c r="D376">
        <v>120.292</v>
      </c>
      <c r="E376">
        <v>152.37100000000001</v>
      </c>
      <c r="F376">
        <v>0.17</v>
      </c>
      <c r="G376">
        <v>0.42</v>
      </c>
      <c r="H376">
        <v>0.997</v>
      </c>
      <c r="I376">
        <v>2.4270999999999998</v>
      </c>
      <c r="J376">
        <v>2.504</v>
      </c>
      <c r="K376">
        <v>9.7065073565595572E-2</v>
      </c>
      <c r="L376" s="112">
        <f>VLOOKUP(A376,[3]RESUMEN!$A:$AE,31,1)</f>
        <v>0.10096597161027879</v>
      </c>
      <c r="M376" s="113">
        <f>VLOOKUP(A376,[3]RESUMEN!$A:$AH,34,1)</f>
        <v>-2.5035897001945195E-2</v>
      </c>
      <c r="N376" s="113">
        <f>VLOOKUP(A376,[3]RESUMEN!$A:$AI,35,1)</f>
        <v>3.7965037304166796E-2</v>
      </c>
    </row>
    <row r="377" spans="1:14" x14ac:dyDescent="0.25">
      <c r="A377" s="102">
        <v>40270</v>
      </c>
      <c r="B377">
        <v>76.049000000000007</v>
      </c>
      <c r="C377">
        <v>98.018000000000001</v>
      </c>
      <c r="D377">
        <v>115.56100000000001</v>
      </c>
      <c r="E377">
        <v>145.43899999999999</v>
      </c>
      <c r="F377">
        <v>0.2</v>
      </c>
      <c r="G377">
        <v>0.42749999999999999</v>
      </c>
      <c r="H377">
        <v>1.0655000000000001</v>
      </c>
      <c r="I377">
        <v>2.4270999999999998</v>
      </c>
      <c r="J377">
        <v>2.6579999999999999</v>
      </c>
      <c r="K377">
        <v>9.2841591698559989E-2</v>
      </c>
      <c r="L377" s="112">
        <f>VLOOKUP(A377,[3]RESUMEN!$A:$AE,31,1)</f>
        <v>0.1805997066759048</v>
      </c>
      <c r="M377" s="113">
        <f>VLOOKUP(A377,[3]RESUMEN!$A:$AH,34,1)</f>
        <v>0.1422319719837542</v>
      </c>
      <c r="N377" s="113">
        <f>VLOOKUP(A377,[3]RESUMEN!$A:$AI,35,1)</f>
        <v>0.1614158393298295</v>
      </c>
    </row>
    <row r="378" spans="1:14" x14ac:dyDescent="0.25">
      <c r="A378" s="102">
        <v>40277</v>
      </c>
      <c r="B378">
        <v>72.853999999999999</v>
      </c>
      <c r="C378">
        <v>93.352000000000004</v>
      </c>
      <c r="D378">
        <v>110.07599999999999</v>
      </c>
      <c r="E378">
        <v>140.333</v>
      </c>
      <c r="F378">
        <v>0.19</v>
      </c>
      <c r="G378">
        <v>0.41880000000000001</v>
      </c>
      <c r="H378">
        <v>1.0109999999999999</v>
      </c>
      <c r="I378">
        <v>2.4270999999999998</v>
      </c>
      <c r="J378">
        <v>2.5830000000000002</v>
      </c>
      <c r="K378">
        <v>8.9743275785733156E-2</v>
      </c>
      <c r="L378" s="112">
        <f>VLOOKUP(A378,[3]RESUMEN!$A:$AE,31,1)</f>
        <v>0.1805997066759048</v>
      </c>
      <c r="M378" s="113">
        <f>VLOOKUP(A378,[3]RESUMEN!$A:$AH,34,1)</f>
        <v>0.1422319719837542</v>
      </c>
      <c r="N378" s="113">
        <f>VLOOKUP(A378,[3]RESUMEN!$A:$AI,35,1)</f>
        <v>0.1614158393298295</v>
      </c>
    </row>
    <row r="379" spans="1:14" x14ac:dyDescent="0.25">
      <c r="A379" s="102">
        <v>40284</v>
      </c>
      <c r="B379">
        <v>67.206000000000003</v>
      </c>
      <c r="C379">
        <v>86.652000000000001</v>
      </c>
      <c r="D379">
        <v>97.856999999999999</v>
      </c>
      <c r="E379">
        <v>130.477</v>
      </c>
      <c r="F379">
        <v>0.21</v>
      </c>
      <c r="G379">
        <v>0.38</v>
      </c>
      <c r="H379">
        <v>0.91900000000000004</v>
      </c>
      <c r="I379">
        <v>2.4270999999999998</v>
      </c>
      <c r="J379">
        <v>2.4319999999999999</v>
      </c>
      <c r="K379">
        <v>8.3724440738540906E-2</v>
      </c>
      <c r="L379" s="112">
        <f>VLOOKUP(A379,[3]RESUMEN!$A:$AE,31,1)</f>
        <v>0.1805997066759048</v>
      </c>
      <c r="M379" s="113">
        <f>VLOOKUP(A379,[3]RESUMEN!$A:$AH,34,1)</f>
        <v>0.1422319719837542</v>
      </c>
      <c r="N379" s="113">
        <f>VLOOKUP(A379,[3]RESUMEN!$A:$AI,35,1)</f>
        <v>0.1614158393298295</v>
      </c>
    </row>
    <row r="380" spans="1:14" x14ac:dyDescent="0.25">
      <c r="A380" s="102">
        <v>40291</v>
      </c>
      <c r="B380">
        <v>66.972999999999999</v>
      </c>
      <c r="C380">
        <v>92.855999999999995</v>
      </c>
      <c r="D380">
        <v>103.327</v>
      </c>
      <c r="E380">
        <v>133.29599999999999</v>
      </c>
      <c r="F380">
        <v>0.2</v>
      </c>
      <c r="G380">
        <v>0.44900000000000001</v>
      </c>
      <c r="H380">
        <v>1.0375000000000001</v>
      </c>
      <c r="I380">
        <v>2.4270999999999998</v>
      </c>
      <c r="J380">
        <v>2.5409999999999999</v>
      </c>
      <c r="K380">
        <v>8.5422549211673471E-2</v>
      </c>
      <c r="L380" s="112">
        <f>VLOOKUP(A380,[3]RESUMEN!$A:$AE,31,1)</f>
        <v>0.1805997066759048</v>
      </c>
      <c r="M380" s="113">
        <f>VLOOKUP(A380,[3]RESUMEN!$A:$AH,34,1)</f>
        <v>0.1422319719837542</v>
      </c>
      <c r="N380" s="113">
        <f>VLOOKUP(A380,[3]RESUMEN!$A:$AI,35,1)</f>
        <v>0.1614158393298295</v>
      </c>
    </row>
    <row r="381" spans="1:14" x14ac:dyDescent="0.25">
      <c r="A381" s="102">
        <v>40298</v>
      </c>
      <c r="B381">
        <v>78.665000000000006</v>
      </c>
      <c r="C381">
        <v>102.761</v>
      </c>
      <c r="D381">
        <v>114.952</v>
      </c>
      <c r="E381">
        <v>146.15</v>
      </c>
      <c r="F381">
        <v>0.2</v>
      </c>
      <c r="G381">
        <v>0.41499999999999998</v>
      </c>
      <c r="H381">
        <v>0.90900000000000003</v>
      </c>
      <c r="I381">
        <v>2.4270999999999998</v>
      </c>
      <c r="J381">
        <v>2.351</v>
      </c>
      <c r="K381">
        <v>9.3254163746139707E-2</v>
      </c>
      <c r="L381" s="112">
        <f>VLOOKUP(A381,[3]RESUMEN!$A:$AE,31,1)</f>
        <v>0.1805997066759048</v>
      </c>
      <c r="M381" s="113">
        <f>VLOOKUP(A381,[3]RESUMEN!$A:$AH,34,1)</f>
        <v>0.1422319719837542</v>
      </c>
      <c r="N381" s="113">
        <f>VLOOKUP(A381,[3]RESUMEN!$A:$AI,35,1)</f>
        <v>0.1614158393298295</v>
      </c>
    </row>
    <row r="382" spans="1:14" x14ac:dyDescent="0.25">
      <c r="A382" s="102">
        <v>40305</v>
      </c>
      <c r="B382">
        <v>96.212999999999994</v>
      </c>
      <c r="C382">
        <v>129.14599999999999</v>
      </c>
      <c r="D382">
        <v>144.79400000000001</v>
      </c>
      <c r="E382">
        <v>182.28299999999999</v>
      </c>
      <c r="F382">
        <v>0.2</v>
      </c>
      <c r="G382">
        <v>0.38900000000000001</v>
      </c>
      <c r="H382">
        <v>0.77200000000000002</v>
      </c>
      <c r="I382">
        <v>2.4270999999999998</v>
      </c>
      <c r="J382">
        <v>2.0859999999999999</v>
      </c>
      <c r="K382">
        <v>0.11496450905719169</v>
      </c>
      <c r="L382" s="112">
        <f>VLOOKUP(A382,[3]RESUMEN!$A:$AE,31,1)</f>
        <v>0.1805997066759048</v>
      </c>
      <c r="M382" s="113">
        <f>VLOOKUP(A382,[3]RESUMEN!$A:$AH,34,1)</f>
        <v>0.1422319719837542</v>
      </c>
      <c r="N382" s="113">
        <f>VLOOKUP(A382,[3]RESUMEN!$A:$AI,35,1)</f>
        <v>0.1614158393298295</v>
      </c>
    </row>
    <row r="383" spans="1:14" x14ac:dyDescent="0.25">
      <c r="A383" s="102">
        <v>40312</v>
      </c>
      <c r="B383">
        <v>79.224999999999994</v>
      </c>
      <c r="C383">
        <v>108.90600000000001</v>
      </c>
      <c r="D383">
        <v>122.54900000000001</v>
      </c>
      <c r="E383">
        <v>157.125</v>
      </c>
      <c r="F383">
        <v>0.2</v>
      </c>
      <c r="G383">
        <v>0.35</v>
      </c>
      <c r="H383">
        <v>0.71599999999999997</v>
      </c>
      <c r="I383">
        <v>2.4270999999999998</v>
      </c>
      <c r="J383">
        <v>2.1139999999999999</v>
      </c>
      <c r="K383">
        <v>9.9945516318683203E-2</v>
      </c>
      <c r="L383" s="112">
        <f>VLOOKUP(A383,[3]RESUMEN!$A:$AE,31,1)</f>
        <v>0.1805997066759048</v>
      </c>
      <c r="M383" s="113">
        <f>VLOOKUP(A383,[3]RESUMEN!$A:$AH,34,1)</f>
        <v>0.1422319719837542</v>
      </c>
      <c r="N383" s="113">
        <f>VLOOKUP(A383,[3]RESUMEN!$A:$AI,35,1)</f>
        <v>0.1614158393298295</v>
      </c>
    </row>
    <row r="384" spans="1:14" x14ac:dyDescent="0.25">
      <c r="A384" s="102">
        <v>40319</v>
      </c>
      <c r="B384">
        <v>94.728999999999999</v>
      </c>
      <c r="C384">
        <v>128.90600000000001</v>
      </c>
      <c r="D384">
        <v>144.63399999999999</v>
      </c>
      <c r="E384">
        <v>179.64699999999999</v>
      </c>
      <c r="F384">
        <v>0.2</v>
      </c>
      <c r="G384">
        <v>0.34350000000000003</v>
      </c>
      <c r="H384">
        <v>0.66800000000000004</v>
      </c>
      <c r="I384">
        <v>2.4270999999999998</v>
      </c>
      <c r="J384">
        <v>1.9409999999999998</v>
      </c>
      <c r="K384">
        <v>0.11340768753511121</v>
      </c>
      <c r="L384" s="112">
        <f>VLOOKUP(A384,[3]RESUMEN!$A:$AE,31,1)</f>
        <v>0.1805997066759048</v>
      </c>
      <c r="M384" s="113">
        <f>VLOOKUP(A384,[3]RESUMEN!$A:$AH,34,1)</f>
        <v>0.1422319719837542</v>
      </c>
      <c r="N384" s="113">
        <f>VLOOKUP(A384,[3]RESUMEN!$A:$AI,35,1)</f>
        <v>0.1614158393298295</v>
      </c>
    </row>
    <row r="385" spans="1:14" x14ac:dyDescent="0.25">
      <c r="A385" s="102">
        <v>40326</v>
      </c>
      <c r="B385">
        <v>88.33</v>
      </c>
      <c r="C385">
        <v>114.474</v>
      </c>
      <c r="D385">
        <v>129.04</v>
      </c>
      <c r="E385">
        <v>162.733</v>
      </c>
      <c r="F385">
        <v>0.19</v>
      </c>
      <c r="G385">
        <v>0.36199999999999999</v>
      </c>
      <c r="H385">
        <v>0.73650000000000004</v>
      </c>
      <c r="I385">
        <v>2.4270999999999998</v>
      </c>
      <c r="J385">
        <v>2.0350000000000001</v>
      </c>
      <c r="K385">
        <v>0.10328290318309008</v>
      </c>
      <c r="L385" s="112">
        <f>VLOOKUP(A385,[3]RESUMEN!$A:$AE,31,1)</f>
        <v>0.1805997066759048</v>
      </c>
      <c r="M385" s="113">
        <f>VLOOKUP(A385,[3]RESUMEN!$A:$AH,34,1)</f>
        <v>0.1422319719837542</v>
      </c>
      <c r="N385" s="113">
        <f>VLOOKUP(A385,[3]RESUMEN!$A:$AI,35,1)</f>
        <v>0.1614158393298295</v>
      </c>
    </row>
    <row r="386" spans="1:14" x14ac:dyDescent="0.25">
      <c r="A386" s="102">
        <v>40333</v>
      </c>
      <c r="B386">
        <v>94.63</v>
      </c>
      <c r="C386">
        <v>119.209</v>
      </c>
      <c r="D386">
        <v>135.93299999999999</v>
      </c>
      <c r="E386">
        <v>169.30099999999999</v>
      </c>
      <c r="F386">
        <v>0.19</v>
      </c>
      <c r="G386">
        <v>0.33400000000000002</v>
      </c>
      <c r="H386">
        <v>0.70799999999999996</v>
      </c>
      <c r="I386">
        <v>2.4270999999999998</v>
      </c>
      <c r="J386">
        <v>1.986</v>
      </c>
      <c r="K386">
        <v>0.10723022787875036</v>
      </c>
      <c r="L386" s="112">
        <f>VLOOKUP(A386,[3]RESUMEN!$A:$AE,31,1)</f>
        <v>0.1805997066759048</v>
      </c>
      <c r="M386" s="113">
        <f>VLOOKUP(A386,[3]RESUMEN!$A:$AH,34,1)</f>
        <v>0.1422319719837542</v>
      </c>
      <c r="N386" s="113">
        <f>VLOOKUP(A386,[3]RESUMEN!$A:$AI,35,1)</f>
        <v>0.1614158393298295</v>
      </c>
    </row>
    <row r="387" spans="1:14" x14ac:dyDescent="0.25">
      <c r="A387" s="102">
        <v>40340</v>
      </c>
      <c r="B387">
        <v>92.7</v>
      </c>
      <c r="C387">
        <v>117.702</v>
      </c>
      <c r="D387">
        <v>131.369</v>
      </c>
      <c r="E387">
        <v>163.09800000000001</v>
      </c>
      <c r="F387">
        <v>0.18</v>
      </c>
      <c r="G387">
        <v>0.32850000000000001</v>
      </c>
      <c r="H387">
        <v>0.68400000000000005</v>
      </c>
      <c r="I387">
        <v>1.137</v>
      </c>
      <c r="J387">
        <v>1.9944999999999999</v>
      </c>
      <c r="K387">
        <v>0.10347491090776506</v>
      </c>
      <c r="L387" s="112">
        <f>VLOOKUP(A387,[3]RESUMEN!$A:$AE,31,1)</f>
        <v>0.1805997066759048</v>
      </c>
      <c r="M387" s="113">
        <f>VLOOKUP(A387,[3]RESUMEN!$A:$AH,34,1)</f>
        <v>0.1422319719837542</v>
      </c>
      <c r="N387" s="113">
        <f>VLOOKUP(A387,[3]RESUMEN!$A:$AI,35,1)</f>
        <v>0.1614158393298295</v>
      </c>
    </row>
    <row r="388" spans="1:14" x14ac:dyDescent="0.25">
      <c r="A388" s="102">
        <v>40347</v>
      </c>
      <c r="B388">
        <v>82.293999999999997</v>
      </c>
      <c r="C388">
        <v>105.538</v>
      </c>
      <c r="D388">
        <v>118.35599999999999</v>
      </c>
      <c r="E388">
        <v>147.44200000000001</v>
      </c>
      <c r="F388">
        <v>0.18</v>
      </c>
      <c r="G388">
        <v>0.315</v>
      </c>
      <c r="H388">
        <v>0.61750000000000005</v>
      </c>
      <c r="I388">
        <v>1.153</v>
      </c>
      <c r="J388">
        <v>1.9064999999999999</v>
      </c>
      <c r="K388">
        <v>9.3998774090644388E-2</v>
      </c>
      <c r="L388" s="112">
        <f>VLOOKUP(A388,[3]RESUMEN!$A:$AE,31,1)</f>
        <v>0.1805997066759048</v>
      </c>
      <c r="M388" s="113">
        <f>VLOOKUP(A388,[3]RESUMEN!$A:$AH,34,1)</f>
        <v>0.1422319719837542</v>
      </c>
      <c r="N388" s="113">
        <f>VLOOKUP(A388,[3]RESUMEN!$A:$AI,35,1)</f>
        <v>0.1614158393298295</v>
      </c>
    </row>
    <row r="389" spans="1:14" x14ac:dyDescent="0.25">
      <c r="A389" s="102">
        <v>40354</v>
      </c>
      <c r="B389">
        <v>84.305999999999997</v>
      </c>
      <c r="C389">
        <v>101.65300000000001</v>
      </c>
      <c r="D389">
        <v>117.27200000000001</v>
      </c>
      <c r="E389">
        <v>148.833</v>
      </c>
      <c r="F389">
        <v>0.16</v>
      </c>
      <c r="G389">
        <v>0.28699999999999998</v>
      </c>
      <c r="H389">
        <v>0.56799999999999995</v>
      </c>
      <c r="I389">
        <v>1.153</v>
      </c>
      <c r="J389">
        <v>1.8115000000000001</v>
      </c>
      <c r="K389">
        <v>9.4892688471857944E-2</v>
      </c>
      <c r="L389" s="112">
        <f>VLOOKUP(A389,[3]RESUMEN!$A:$AE,31,1)</f>
        <v>0.1805997066759048</v>
      </c>
      <c r="M389" s="113">
        <f>VLOOKUP(A389,[3]RESUMEN!$A:$AH,34,1)</f>
        <v>0.1422319719837542</v>
      </c>
      <c r="N389" s="113">
        <f>VLOOKUP(A389,[3]RESUMEN!$A:$AI,35,1)</f>
        <v>0.1614158393298295</v>
      </c>
    </row>
    <row r="390" spans="1:14" x14ac:dyDescent="0.25">
      <c r="A390" s="102">
        <v>40361</v>
      </c>
      <c r="B390">
        <v>87.885999999999996</v>
      </c>
      <c r="C390">
        <v>104.251</v>
      </c>
      <c r="D390">
        <v>122.401</v>
      </c>
      <c r="E390">
        <v>153.345</v>
      </c>
      <c r="F390">
        <v>0.18</v>
      </c>
      <c r="G390">
        <v>0.29199999999999998</v>
      </c>
      <c r="H390">
        <v>0.56599999999999995</v>
      </c>
      <c r="I390">
        <v>0.96699999999999997</v>
      </c>
      <c r="J390">
        <v>1.724</v>
      </c>
      <c r="K390">
        <v>9.7628689319718354E-2</v>
      </c>
      <c r="L390" s="112">
        <f>VLOOKUP(A390,[3]RESUMEN!$A:$AE,31,1)</f>
        <v>7.4103195155382148E-2</v>
      </c>
      <c r="M390" s="113">
        <f>VLOOKUP(A390,[3]RESUMEN!$A:$AH,34,1)</f>
        <v>-0.537554843103209</v>
      </c>
      <c r="N390" s="113">
        <f>VLOOKUP(A390,[3]RESUMEN!$A:$AI,35,1)</f>
        <v>-0.23172582397391342</v>
      </c>
    </row>
    <row r="391" spans="1:14" x14ac:dyDescent="0.25">
      <c r="A391" s="102">
        <v>40368</v>
      </c>
      <c r="B391">
        <v>80.757999999999996</v>
      </c>
      <c r="C391">
        <v>96.745999999999995</v>
      </c>
      <c r="D391">
        <v>109.95</v>
      </c>
      <c r="E391">
        <v>139.85300000000001</v>
      </c>
      <c r="F391">
        <v>0.18</v>
      </c>
      <c r="G391">
        <v>0.27900000000000003</v>
      </c>
      <c r="H391">
        <v>0.57899999999999996</v>
      </c>
      <c r="I391">
        <v>0.98499999999999999</v>
      </c>
      <c r="J391">
        <v>1.776</v>
      </c>
      <c r="K391">
        <v>8.9405510797404442E-2</v>
      </c>
      <c r="L391" s="112">
        <f>VLOOKUP(A391,[3]RESUMEN!$A:$AE,31,1)</f>
        <v>7.4103195155382148E-2</v>
      </c>
      <c r="M391" s="113">
        <f>VLOOKUP(A391,[3]RESUMEN!$A:$AH,34,1)</f>
        <v>-0.537554843103209</v>
      </c>
      <c r="N391" s="113">
        <f>VLOOKUP(A391,[3]RESUMEN!$A:$AI,35,1)</f>
        <v>-0.23172582397391342</v>
      </c>
    </row>
    <row r="392" spans="1:14" x14ac:dyDescent="0.25">
      <c r="A392" s="102">
        <v>40375</v>
      </c>
      <c r="B392">
        <v>78.183999999999997</v>
      </c>
      <c r="C392">
        <v>92.352999999999994</v>
      </c>
      <c r="D392">
        <v>106.129</v>
      </c>
      <c r="E392">
        <v>135.983</v>
      </c>
      <c r="F392">
        <v>0.19</v>
      </c>
      <c r="G392">
        <v>0.25600000000000001</v>
      </c>
      <c r="H392">
        <v>0.50900000000000001</v>
      </c>
      <c r="I392">
        <v>0.86899999999999999</v>
      </c>
      <c r="J392">
        <v>1.609</v>
      </c>
      <c r="K392">
        <v>8.7061564268183345E-2</v>
      </c>
      <c r="L392" s="112">
        <f>VLOOKUP(A392,[3]RESUMEN!$A:$AE,31,1)</f>
        <v>7.4103195155382148E-2</v>
      </c>
      <c r="M392" s="113">
        <f>VLOOKUP(A392,[3]RESUMEN!$A:$AH,34,1)</f>
        <v>-0.537554843103209</v>
      </c>
      <c r="N392" s="113">
        <f>VLOOKUP(A392,[3]RESUMEN!$A:$AI,35,1)</f>
        <v>-0.23172582397391342</v>
      </c>
    </row>
    <row r="393" spans="1:14" x14ac:dyDescent="0.25">
      <c r="A393" s="102">
        <v>40382</v>
      </c>
      <c r="B393">
        <v>70.97</v>
      </c>
      <c r="C393">
        <v>85.021000000000001</v>
      </c>
      <c r="D393">
        <v>97.341999999999999</v>
      </c>
      <c r="E393">
        <v>127.33199999999999</v>
      </c>
      <c r="F393">
        <v>0.19</v>
      </c>
      <c r="G393">
        <v>0.23549999999999999</v>
      </c>
      <c r="H393">
        <v>0.505</v>
      </c>
      <c r="I393">
        <v>0.88200000000000001</v>
      </c>
      <c r="J393">
        <v>1.6545000000000001</v>
      </c>
      <c r="K393">
        <v>8.1762807985593877E-2</v>
      </c>
      <c r="L393" s="112">
        <f>VLOOKUP(A393,[3]RESUMEN!$A:$AE,31,1)</f>
        <v>7.4103195155382148E-2</v>
      </c>
      <c r="M393" s="113">
        <f>VLOOKUP(A393,[3]RESUMEN!$A:$AH,34,1)</f>
        <v>-0.537554843103209</v>
      </c>
      <c r="N393" s="113">
        <f>VLOOKUP(A393,[3]RESUMEN!$A:$AI,35,1)</f>
        <v>-0.23172582397391342</v>
      </c>
    </row>
    <row r="394" spans="1:14" x14ac:dyDescent="0.25">
      <c r="A394" s="102">
        <v>40389</v>
      </c>
      <c r="B394">
        <v>67.668999999999997</v>
      </c>
      <c r="C394">
        <v>81.180999999999997</v>
      </c>
      <c r="D394">
        <v>93.596000000000004</v>
      </c>
      <c r="E394">
        <v>123.751</v>
      </c>
      <c r="F394">
        <v>0.18</v>
      </c>
      <c r="G394">
        <v>0.23799999999999999</v>
      </c>
      <c r="H394">
        <v>0.47649999999999998</v>
      </c>
      <c r="I394">
        <v>0.8145</v>
      </c>
      <c r="J394">
        <v>1.518</v>
      </c>
      <c r="K394">
        <v>7.9570748879429609E-2</v>
      </c>
      <c r="L394" s="112">
        <f>VLOOKUP(A394,[3]RESUMEN!$A:$AE,31,1)</f>
        <v>7.4103195155382148E-2</v>
      </c>
      <c r="M394" s="113">
        <f>VLOOKUP(A394,[3]RESUMEN!$A:$AH,34,1)</f>
        <v>-0.537554843103209</v>
      </c>
      <c r="N394" s="113">
        <f>VLOOKUP(A394,[3]RESUMEN!$A:$AI,35,1)</f>
        <v>-0.23172582397391342</v>
      </c>
    </row>
    <row r="395" spans="1:14" x14ac:dyDescent="0.25">
      <c r="A395" s="102">
        <v>40396</v>
      </c>
      <c r="B395">
        <v>64.754999999999995</v>
      </c>
      <c r="C395">
        <v>76.7</v>
      </c>
      <c r="D395">
        <v>90.915999999999997</v>
      </c>
      <c r="E395">
        <v>119.672</v>
      </c>
      <c r="F395">
        <v>0.18</v>
      </c>
      <c r="G395">
        <v>0.20300000000000001</v>
      </c>
      <c r="H395">
        <v>0.42149999999999999</v>
      </c>
      <c r="I395">
        <v>0.75</v>
      </c>
      <c r="J395">
        <v>1.4464999999999999</v>
      </c>
      <c r="K395">
        <v>7.7049599955288706E-2</v>
      </c>
      <c r="L395" s="112">
        <f>VLOOKUP(A395,[3]RESUMEN!$A:$AE,31,1)</f>
        <v>7.4103195155382148E-2</v>
      </c>
      <c r="M395" s="113">
        <f>VLOOKUP(A395,[3]RESUMEN!$A:$AH,34,1)</f>
        <v>-0.537554843103209</v>
      </c>
      <c r="N395" s="113">
        <f>VLOOKUP(A395,[3]RESUMEN!$A:$AI,35,1)</f>
        <v>-0.23172582397391342</v>
      </c>
    </row>
    <row r="396" spans="1:14" x14ac:dyDescent="0.25">
      <c r="A396" s="102">
        <v>40403</v>
      </c>
      <c r="B396">
        <v>65.911000000000001</v>
      </c>
      <c r="C396">
        <v>82.027000000000001</v>
      </c>
      <c r="D396">
        <v>92.628</v>
      </c>
      <c r="E396">
        <v>122.197</v>
      </c>
      <c r="F396">
        <v>0.19</v>
      </c>
      <c r="G396">
        <v>0.21149999999999999</v>
      </c>
      <c r="H396">
        <v>0.443</v>
      </c>
      <c r="I396">
        <v>0.76249999999999996</v>
      </c>
      <c r="J396">
        <v>1.4064999999999999</v>
      </c>
      <c r="K396">
        <v>7.8607508241099855E-2</v>
      </c>
      <c r="L396" s="112">
        <f>VLOOKUP(A396,[3]RESUMEN!$A:$AE,31,1)</f>
        <v>7.4103195155382148E-2</v>
      </c>
      <c r="M396" s="113">
        <f>VLOOKUP(A396,[3]RESUMEN!$A:$AH,34,1)</f>
        <v>-0.537554843103209</v>
      </c>
      <c r="N396" s="113">
        <f>VLOOKUP(A396,[3]RESUMEN!$A:$AI,35,1)</f>
        <v>-0.23172582397391342</v>
      </c>
    </row>
    <row r="397" spans="1:14" x14ac:dyDescent="0.25">
      <c r="A397" s="102">
        <v>40410</v>
      </c>
      <c r="B397">
        <v>61.4</v>
      </c>
      <c r="C397">
        <v>78.718999999999994</v>
      </c>
      <c r="D397">
        <v>92.373999999999995</v>
      </c>
      <c r="E397">
        <v>122.494</v>
      </c>
      <c r="F397">
        <v>0.2</v>
      </c>
      <c r="G397">
        <v>0.20349999999999999</v>
      </c>
      <c r="H397">
        <v>0.41099999999999998</v>
      </c>
      <c r="I397">
        <v>0.73399999999999999</v>
      </c>
      <c r="J397">
        <v>1.399</v>
      </c>
      <c r="K397">
        <v>7.8607508241099855E-2</v>
      </c>
      <c r="L397" s="112">
        <f>VLOOKUP(A397,[3]RESUMEN!$A:$AE,31,1)</f>
        <v>7.4103195155382148E-2</v>
      </c>
      <c r="M397" s="113">
        <f>VLOOKUP(A397,[3]RESUMEN!$A:$AH,34,1)</f>
        <v>-0.537554843103209</v>
      </c>
      <c r="N397" s="113">
        <f>VLOOKUP(A397,[3]RESUMEN!$A:$AI,35,1)</f>
        <v>-0.23172582397391342</v>
      </c>
    </row>
    <row r="398" spans="1:14" x14ac:dyDescent="0.25">
      <c r="A398" s="102">
        <v>40417</v>
      </c>
      <c r="B398">
        <v>69.465999999999994</v>
      </c>
      <c r="C398">
        <v>88.177000000000007</v>
      </c>
      <c r="D398">
        <v>102.98399999999999</v>
      </c>
      <c r="E398">
        <v>132.53399999999999</v>
      </c>
      <c r="F398">
        <v>0.19</v>
      </c>
      <c r="G398">
        <v>0.221</v>
      </c>
      <c r="H398">
        <v>0.45100000000000001</v>
      </c>
      <c r="I398">
        <v>0.77500000000000002</v>
      </c>
      <c r="J398">
        <v>1.4350000000000001</v>
      </c>
      <c r="K398">
        <v>8.4963951159131024E-2</v>
      </c>
      <c r="L398" s="112">
        <f>VLOOKUP(A398,[3]RESUMEN!$A:$AE,31,1)</f>
        <v>7.4103195155382148E-2</v>
      </c>
      <c r="M398" s="113">
        <f>VLOOKUP(A398,[3]RESUMEN!$A:$AH,34,1)</f>
        <v>-0.537554843103209</v>
      </c>
      <c r="N398" s="113">
        <f>VLOOKUP(A398,[3]RESUMEN!$A:$AI,35,1)</f>
        <v>-0.23172582397391342</v>
      </c>
    </row>
    <row r="399" spans="1:14" x14ac:dyDescent="0.25">
      <c r="A399" s="102">
        <v>40424</v>
      </c>
      <c r="B399">
        <v>62.841000000000001</v>
      </c>
      <c r="C399">
        <v>80.700999999999993</v>
      </c>
      <c r="D399">
        <v>94.405000000000001</v>
      </c>
      <c r="E399">
        <v>123.373</v>
      </c>
      <c r="F399">
        <v>0.19</v>
      </c>
      <c r="G399">
        <v>0.21299999999999999</v>
      </c>
      <c r="H399">
        <v>0.436</v>
      </c>
      <c r="I399">
        <v>0.753</v>
      </c>
      <c r="J399">
        <v>1.4159999999999999</v>
      </c>
      <c r="K399">
        <v>7.9331865639267862E-2</v>
      </c>
      <c r="L399" s="112">
        <f>VLOOKUP(A399,[3]RESUMEN!$A:$AE,31,1)</f>
        <v>7.4103195155382148E-2</v>
      </c>
      <c r="M399" s="113">
        <f>VLOOKUP(A399,[3]RESUMEN!$A:$AH,34,1)</f>
        <v>-0.537554843103209</v>
      </c>
      <c r="N399" s="113">
        <f>VLOOKUP(A399,[3]RESUMEN!$A:$AI,35,1)</f>
        <v>-0.23172582397391342</v>
      </c>
    </row>
    <row r="400" spans="1:14" x14ac:dyDescent="0.25">
      <c r="A400" s="102">
        <v>40431</v>
      </c>
      <c r="B400">
        <v>67.721000000000004</v>
      </c>
      <c r="C400">
        <v>85.478999999999999</v>
      </c>
      <c r="D400">
        <v>100.61</v>
      </c>
      <c r="E400">
        <v>130.22800000000001</v>
      </c>
      <c r="F400">
        <v>0.18</v>
      </c>
      <c r="G400">
        <v>0.23799999999999999</v>
      </c>
      <c r="H400">
        <v>0.48099999999999998</v>
      </c>
      <c r="I400">
        <v>0.81200000000000006</v>
      </c>
      <c r="J400">
        <v>1.486</v>
      </c>
      <c r="K400">
        <v>8.3555979251817236E-2</v>
      </c>
      <c r="L400" s="112">
        <f>VLOOKUP(A400,[3]RESUMEN!$A:$AE,31,1)</f>
        <v>7.4103195155382148E-2</v>
      </c>
      <c r="M400" s="113">
        <f>VLOOKUP(A400,[3]RESUMEN!$A:$AH,34,1)</f>
        <v>-0.537554843103209</v>
      </c>
      <c r="N400" s="113">
        <f>VLOOKUP(A400,[3]RESUMEN!$A:$AI,35,1)</f>
        <v>-0.23172582397391342</v>
      </c>
    </row>
    <row r="401" spans="1:14" x14ac:dyDescent="0.25">
      <c r="A401" s="102">
        <v>40438</v>
      </c>
      <c r="B401">
        <v>65.855999999999995</v>
      </c>
      <c r="C401">
        <v>81.867999999999995</v>
      </c>
      <c r="D401">
        <v>97.043000000000006</v>
      </c>
      <c r="E401">
        <v>126.217</v>
      </c>
      <c r="F401">
        <v>0.21</v>
      </c>
      <c r="G401">
        <v>0.218</v>
      </c>
      <c r="H401">
        <v>0.41399999999999998</v>
      </c>
      <c r="I401">
        <v>0.71750000000000003</v>
      </c>
      <c r="J401">
        <v>1.403</v>
      </c>
      <c r="K401">
        <v>8.1091727647362055E-2</v>
      </c>
      <c r="L401" s="112">
        <f>VLOOKUP(A401,[3]RESUMEN!$A:$AE,31,1)</f>
        <v>7.4103195155382148E-2</v>
      </c>
      <c r="M401" s="113">
        <f>VLOOKUP(A401,[3]RESUMEN!$A:$AH,34,1)</f>
        <v>-0.537554843103209</v>
      </c>
      <c r="N401" s="113">
        <f>VLOOKUP(A401,[3]RESUMEN!$A:$AI,35,1)</f>
        <v>-0.23172582397391342</v>
      </c>
    </row>
    <row r="402" spans="1:14" x14ac:dyDescent="0.25">
      <c r="A402" s="102">
        <v>40445</v>
      </c>
      <c r="B402">
        <v>63.473999999999997</v>
      </c>
      <c r="C402">
        <v>80.558000000000007</v>
      </c>
      <c r="D402">
        <v>95.552999999999997</v>
      </c>
      <c r="E402">
        <v>123.187</v>
      </c>
      <c r="F402">
        <v>0.21</v>
      </c>
      <c r="G402">
        <v>0.20799999999999999</v>
      </c>
      <c r="H402">
        <v>0.36749999999999999</v>
      </c>
      <c r="I402">
        <v>0.63700000000000001</v>
      </c>
      <c r="J402">
        <v>1.31</v>
      </c>
      <c r="K402">
        <v>7.9204880076213402E-2</v>
      </c>
      <c r="L402" s="112">
        <f>VLOOKUP(A402,[3]RESUMEN!$A:$AE,31,1)</f>
        <v>7.4103195155382148E-2</v>
      </c>
      <c r="M402" s="113">
        <f>VLOOKUP(A402,[3]RESUMEN!$A:$AH,34,1)</f>
        <v>-0.537554843103209</v>
      </c>
      <c r="N402" s="113">
        <f>VLOOKUP(A402,[3]RESUMEN!$A:$AI,35,1)</f>
        <v>-0.23172582397391342</v>
      </c>
    </row>
    <row r="403" spans="1:14" x14ac:dyDescent="0.25">
      <c r="A403" s="102">
        <v>40452</v>
      </c>
      <c r="B403">
        <v>62.235999999999997</v>
      </c>
      <c r="C403">
        <v>77.834999999999994</v>
      </c>
      <c r="D403">
        <v>89.241</v>
      </c>
      <c r="E403">
        <v>114.68300000000001</v>
      </c>
      <c r="F403">
        <v>0.2</v>
      </c>
      <c r="G403">
        <v>0.20349999999999999</v>
      </c>
      <c r="H403">
        <v>0.34699999999999998</v>
      </c>
      <c r="I403">
        <v>0.6</v>
      </c>
      <c r="J403">
        <v>1.232</v>
      </c>
      <c r="K403">
        <v>7.3912144241736089E-2</v>
      </c>
      <c r="L403" s="112">
        <f>VLOOKUP(A403,[3]RESUMEN!$A:$AE,31,1)</f>
        <v>2.8161242371547306E-2</v>
      </c>
      <c r="M403" s="113">
        <f>VLOOKUP(A403,[3]RESUMEN!$A:$AH,34,1)</f>
        <v>0.17648086796942586</v>
      </c>
      <c r="N403" s="113">
        <f>VLOOKUP(A403,[3]RESUMEN!$A:$AI,35,1)</f>
        <v>0.10232105517048658</v>
      </c>
    </row>
    <row r="404" spans="1:14" x14ac:dyDescent="0.25">
      <c r="A404" s="102">
        <v>40459</v>
      </c>
      <c r="B404">
        <v>54.811999999999998</v>
      </c>
      <c r="C404">
        <v>65.257999999999996</v>
      </c>
      <c r="D404">
        <v>77.63</v>
      </c>
      <c r="E404">
        <v>100.679</v>
      </c>
      <c r="F404">
        <v>0.18</v>
      </c>
      <c r="G404">
        <v>0.17799999999999999</v>
      </c>
      <c r="H404">
        <v>0.30399999999999999</v>
      </c>
      <c r="I404">
        <v>0.48649999999999999</v>
      </c>
      <c r="J404">
        <v>1.1040000000000001</v>
      </c>
      <c r="K404">
        <v>6.5187865331880479E-2</v>
      </c>
      <c r="L404" s="112">
        <f>VLOOKUP(A404,[3]RESUMEN!$A:$AE,31,1)</f>
        <v>2.8161242371547306E-2</v>
      </c>
      <c r="M404" s="113">
        <f>VLOOKUP(A404,[3]RESUMEN!$A:$AH,34,1)</f>
        <v>0.17648086796942586</v>
      </c>
      <c r="N404" s="113">
        <f>VLOOKUP(A404,[3]RESUMEN!$A:$AI,35,1)</f>
        <v>0.10232105517048658</v>
      </c>
    </row>
    <row r="405" spans="1:14" x14ac:dyDescent="0.25">
      <c r="A405" s="102">
        <v>40466</v>
      </c>
      <c r="B405">
        <v>54.281999999999996</v>
      </c>
      <c r="C405">
        <v>67.911000000000001</v>
      </c>
      <c r="D405">
        <v>75.802000000000007</v>
      </c>
      <c r="E405">
        <v>99.194000000000003</v>
      </c>
      <c r="F405">
        <v>0.2</v>
      </c>
      <c r="G405">
        <v>0.17599999999999999</v>
      </c>
      <c r="H405">
        <v>0.29099999999999998</v>
      </c>
      <c r="I405">
        <v>0.51949999999999996</v>
      </c>
      <c r="J405">
        <v>1.1655</v>
      </c>
      <c r="K405">
        <v>6.4557498879433517E-2</v>
      </c>
      <c r="L405" s="112">
        <f>VLOOKUP(A405,[3]RESUMEN!$A:$AE,31,1)</f>
        <v>2.8161242371547306E-2</v>
      </c>
      <c r="M405" s="113">
        <f>VLOOKUP(A405,[3]RESUMEN!$A:$AH,34,1)</f>
        <v>0.17648086796942586</v>
      </c>
      <c r="N405" s="113">
        <f>VLOOKUP(A405,[3]RESUMEN!$A:$AI,35,1)</f>
        <v>0.10232105517048658</v>
      </c>
    </row>
    <row r="406" spans="1:14" x14ac:dyDescent="0.25">
      <c r="A406" s="102">
        <v>40473</v>
      </c>
      <c r="B406">
        <v>54.713999999999999</v>
      </c>
      <c r="C406">
        <v>66.751999999999995</v>
      </c>
      <c r="D406">
        <v>76.614000000000004</v>
      </c>
      <c r="E406">
        <v>101.44</v>
      </c>
      <c r="F406">
        <v>0.19</v>
      </c>
      <c r="G406">
        <v>0.17899999999999999</v>
      </c>
      <c r="H406">
        <v>0.28100000000000003</v>
      </c>
      <c r="I406">
        <v>0.48499999999999999</v>
      </c>
      <c r="J406">
        <v>1.115</v>
      </c>
      <c r="K406">
        <v>6.5181563770518536E-2</v>
      </c>
      <c r="L406" s="112">
        <f>VLOOKUP(A406,[3]RESUMEN!$A:$AE,31,1)</f>
        <v>2.8161242371547306E-2</v>
      </c>
      <c r="M406" s="113">
        <f>VLOOKUP(A406,[3]RESUMEN!$A:$AH,34,1)</f>
        <v>0.17648086796942586</v>
      </c>
      <c r="N406" s="113">
        <f>VLOOKUP(A406,[3]RESUMEN!$A:$AI,35,1)</f>
        <v>0.10232105517048658</v>
      </c>
    </row>
    <row r="407" spans="1:14" x14ac:dyDescent="0.25">
      <c r="A407" s="102">
        <v>40480</v>
      </c>
      <c r="B407">
        <v>55.344999999999999</v>
      </c>
      <c r="C407">
        <v>67.694999999999993</v>
      </c>
      <c r="D407">
        <v>76.373000000000005</v>
      </c>
      <c r="E407">
        <v>102.11</v>
      </c>
      <c r="F407">
        <v>0.2</v>
      </c>
      <c r="G407">
        <v>0.17699999999999999</v>
      </c>
      <c r="H407">
        <v>0.26300000000000001</v>
      </c>
      <c r="I407">
        <v>0.46550000000000002</v>
      </c>
      <c r="J407">
        <v>1.1400000000000001</v>
      </c>
      <c r="K407">
        <v>6.5811446711117716E-2</v>
      </c>
      <c r="L407" s="112">
        <f>VLOOKUP(A407,[3]RESUMEN!$A:$AE,31,1)</f>
        <v>2.8161242371547306E-2</v>
      </c>
      <c r="M407" s="113">
        <f>VLOOKUP(A407,[3]RESUMEN!$A:$AH,34,1)</f>
        <v>0.17648086796942586</v>
      </c>
      <c r="N407" s="113">
        <f>VLOOKUP(A407,[3]RESUMEN!$A:$AI,35,1)</f>
        <v>0.10232105517048658</v>
      </c>
    </row>
    <row r="408" spans="1:14" x14ac:dyDescent="0.25">
      <c r="A408" s="102">
        <v>40487</v>
      </c>
      <c r="B408">
        <v>51.725000000000001</v>
      </c>
      <c r="C408">
        <v>63.767000000000003</v>
      </c>
      <c r="D408">
        <v>72.411000000000001</v>
      </c>
      <c r="E408">
        <v>94.63</v>
      </c>
      <c r="F408">
        <v>0.18</v>
      </c>
      <c r="G408">
        <v>0.191</v>
      </c>
      <c r="H408">
        <v>0.27600000000000002</v>
      </c>
      <c r="I408">
        <v>0.45650000000000002</v>
      </c>
      <c r="J408">
        <v>1.07</v>
      </c>
      <c r="K408">
        <v>6.1377969975003999E-2</v>
      </c>
      <c r="L408" s="112">
        <f>VLOOKUP(A408,[3]RESUMEN!$A:$AE,31,1)</f>
        <v>2.8161242371547306E-2</v>
      </c>
      <c r="M408" s="113">
        <f>VLOOKUP(A408,[3]RESUMEN!$A:$AH,34,1)</f>
        <v>0.17648086796942586</v>
      </c>
      <c r="N408" s="113">
        <f>VLOOKUP(A408,[3]RESUMEN!$A:$AI,35,1)</f>
        <v>0.10232105517048658</v>
      </c>
    </row>
    <row r="409" spans="1:14" x14ac:dyDescent="0.25">
      <c r="A409" s="102">
        <v>40494</v>
      </c>
      <c r="B409">
        <v>57</v>
      </c>
      <c r="C409">
        <v>71.188999999999993</v>
      </c>
      <c r="D409">
        <v>80.534000000000006</v>
      </c>
      <c r="E409">
        <v>104.559</v>
      </c>
      <c r="F409">
        <v>0.19</v>
      </c>
      <c r="G409">
        <v>0.217</v>
      </c>
      <c r="H409">
        <v>0.41399999999999998</v>
      </c>
      <c r="I409">
        <v>0.68400000000000005</v>
      </c>
      <c r="J409">
        <v>1.3420000000000001</v>
      </c>
      <c r="K409">
        <v>6.7603971775319183E-2</v>
      </c>
      <c r="L409" s="112">
        <f>VLOOKUP(A409,[3]RESUMEN!$A:$AE,31,1)</f>
        <v>2.8161242371547306E-2</v>
      </c>
      <c r="M409" s="113">
        <f>VLOOKUP(A409,[3]RESUMEN!$A:$AH,34,1)</f>
        <v>0.17648086796942586</v>
      </c>
      <c r="N409" s="113">
        <f>VLOOKUP(A409,[3]RESUMEN!$A:$AI,35,1)</f>
        <v>0.10232105517048658</v>
      </c>
    </row>
    <row r="410" spans="1:14" x14ac:dyDescent="0.25">
      <c r="A410" s="102">
        <v>40501</v>
      </c>
      <c r="B410">
        <v>59</v>
      </c>
      <c r="C410">
        <v>75.209000000000003</v>
      </c>
      <c r="D410">
        <v>84.177999999999997</v>
      </c>
      <c r="E410">
        <v>108.78400000000001</v>
      </c>
      <c r="F410">
        <v>0.21</v>
      </c>
      <c r="G410">
        <v>0.219</v>
      </c>
      <c r="H410">
        <v>0.42049999999999998</v>
      </c>
      <c r="I410">
        <v>0.72399999999999998</v>
      </c>
      <c r="J410">
        <v>1.48</v>
      </c>
      <c r="K410">
        <v>7.0240310307234766E-2</v>
      </c>
      <c r="L410" s="112">
        <f>VLOOKUP(A410,[3]RESUMEN!$A:$AE,31,1)</f>
        <v>2.8161242371547306E-2</v>
      </c>
      <c r="M410" s="113">
        <f>VLOOKUP(A410,[3]RESUMEN!$A:$AH,34,1)</f>
        <v>0.17648086796942586</v>
      </c>
      <c r="N410" s="113">
        <f>VLOOKUP(A410,[3]RESUMEN!$A:$AI,35,1)</f>
        <v>0.10232105517048658</v>
      </c>
    </row>
    <row r="411" spans="1:14" x14ac:dyDescent="0.25">
      <c r="A411" s="102">
        <v>40508</v>
      </c>
      <c r="B411">
        <v>67.247</v>
      </c>
      <c r="C411">
        <v>81.988</v>
      </c>
      <c r="D411">
        <v>90.855999999999995</v>
      </c>
      <c r="E411">
        <v>115.262</v>
      </c>
      <c r="F411">
        <v>0.2</v>
      </c>
      <c r="G411">
        <v>0.22</v>
      </c>
      <c r="H411">
        <v>0.41499999999999998</v>
      </c>
      <c r="I411">
        <v>0.69099999999999995</v>
      </c>
      <c r="J411">
        <v>1.4530000000000001</v>
      </c>
      <c r="K411">
        <v>7.4244287636655693E-2</v>
      </c>
      <c r="L411" s="112">
        <f>VLOOKUP(A411,[3]RESUMEN!$A:$AE,31,1)</f>
        <v>2.8161242371547306E-2</v>
      </c>
      <c r="M411" s="113">
        <f>VLOOKUP(A411,[3]RESUMEN!$A:$AH,34,1)</f>
        <v>0.17648086796942586</v>
      </c>
      <c r="N411" s="113">
        <f>VLOOKUP(A411,[3]RESUMEN!$A:$AI,35,1)</f>
        <v>0.10232105517048658</v>
      </c>
    </row>
    <row r="412" spans="1:14" x14ac:dyDescent="0.25">
      <c r="A412" s="102">
        <v>40515</v>
      </c>
      <c r="B412">
        <v>59.503</v>
      </c>
      <c r="C412">
        <v>73.549000000000007</v>
      </c>
      <c r="D412">
        <v>82.744</v>
      </c>
      <c r="E412">
        <v>106.47199999999999</v>
      </c>
      <c r="F412">
        <v>0.18</v>
      </c>
      <c r="G412">
        <v>0.2175</v>
      </c>
      <c r="H412">
        <v>0.39600000000000002</v>
      </c>
      <c r="I412">
        <v>0.71499999999999997</v>
      </c>
      <c r="J412">
        <v>1.552</v>
      </c>
      <c r="K412">
        <v>6.8787683401842381E-2</v>
      </c>
      <c r="L412" s="112">
        <f>VLOOKUP(A412,[3]RESUMEN!$A:$AE,31,1)</f>
        <v>2.8161242371547306E-2</v>
      </c>
      <c r="M412" s="113">
        <f>VLOOKUP(A412,[3]RESUMEN!$A:$AH,34,1)</f>
        <v>0.17648086796942586</v>
      </c>
      <c r="N412" s="113">
        <f>VLOOKUP(A412,[3]RESUMEN!$A:$AI,35,1)</f>
        <v>0.10232105517048658</v>
      </c>
    </row>
    <row r="413" spans="1:14" x14ac:dyDescent="0.25">
      <c r="A413" s="102">
        <v>40522</v>
      </c>
      <c r="B413">
        <v>60.738</v>
      </c>
      <c r="C413">
        <v>77.009</v>
      </c>
      <c r="D413">
        <v>88.230999999999995</v>
      </c>
      <c r="E413">
        <v>112.627</v>
      </c>
      <c r="F413">
        <v>0.16</v>
      </c>
      <c r="G413">
        <v>0.2475</v>
      </c>
      <c r="H413">
        <v>0.54349999999999998</v>
      </c>
      <c r="I413">
        <v>0.97</v>
      </c>
      <c r="J413">
        <v>1.879</v>
      </c>
      <c r="K413">
        <v>7.263153257057664E-2</v>
      </c>
      <c r="L413" s="112">
        <f>VLOOKUP(A413,[3]RESUMEN!$A:$AE,31,1)</f>
        <v>2.8161242371547306E-2</v>
      </c>
      <c r="M413" s="113">
        <f>VLOOKUP(A413,[3]RESUMEN!$A:$AH,34,1)</f>
        <v>0.17648086796942586</v>
      </c>
      <c r="N413" s="113">
        <f>VLOOKUP(A413,[3]RESUMEN!$A:$AI,35,1)</f>
        <v>0.10232105517048658</v>
      </c>
    </row>
    <row r="414" spans="1:14" x14ac:dyDescent="0.25">
      <c r="A414" s="102">
        <v>40529</v>
      </c>
      <c r="B414">
        <v>62.716999999999999</v>
      </c>
      <c r="C414">
        <v>81.712999999999994</v>
      </c>
      <c r="D414">
        <v>91.004999999999995</v>
      </c>
      <c r="E414">
        <v>115.413</v>
      </c>
      <c r="F414">
        <v>0.2</v>
      </c>
      <c r="G414">
        <v>0.247</v>
      </c>
      <c r="H414">
        <v>0.54449999999999998</v>
      </c>
      <c r="I414">
        <v>0.97250000000000003</v>
      </c>
      <c r="J414">
        <v>1.865</v>
      </c>
      <c r="K414">
        <v>7.4348229704641944E-2</v>
      </c>
      <c r="L414" s="112">
        <f>VLOOKUP(A414,[3]RESUMEN!$A:$AE,31,1)</f>
        <v>2.8161242371547306E-2</v>
      </c>
      <c r="M414" s="113">
        <f>VLOOKUP(A414,[3]RESUMEN!$A:$AH,34,1)</f>
        <v>0.17648086796942586</v>
      </c>
      <c r="N414" s="113">
        <f>VLOOKUP(A414,[3]RESUMEN!$A:$AI,35,1)</f>
        <v>0.10232105517048658</v>
      </c>
    </row>
    <row r="415" spans="1:14" x14ac:dyDescent="0.25">
      <c r="A415" s="102">
        <v>40536</v>
      </c>
      <c r="B415">
        <v>63.564</v>
      </c>
      <c r="C415">
        <v>82.314999999999998</v>
      </c>
      <c r="D415">
        <v>92.424000000000007</v>
      </c>
      <c r="E415">
        <v>116.16500000000001</v>
      </c>
      <c r="F415">
        <v>0.19</v>
      </c>
      <c r="G415">
        <v>0.25600000000000001</v>
      </c>
      <c r="H415">
        <v>0.625</v>
      </c>
      <c r="I415">
        <v>1.0649999999999999</v>
      </c>
      <c r="J415">
        <v>1.9279999999999999</v>
      </c>
      <c r="K415">
        <v>7.4348229704641944E-2</v>
      </c>
      <c r="L415" s="112">
        <f>VLOOKUP(A415,[3]RESUMEN!$A:$AE,31,1)</f>
        <v>2.8161242371547306E-2</v>
      </c>
      <c r="M415" s="113">
        <f>VLOOKUP(A415,[3]RESUMEN!$A:$AH,34,1)</f>
        <v>0.17648086796942586</v>
      </c>
      <c r="N415" s="113">
        <f>VLOOKUP(A415,[3]RESUMEN!$A:$AI,35,1)</f>
        <v>0.10232105517048658</v>
      </c>
    </row>
    <row r="416" spans="1:14" x14ac:dyDescent="0.25">
      <c r="A416" s="102">
        <v>40543</v>
      </c>
      <c r="B416">
        <v>60.453000000000003</v>
      </c>
      <c r="C416">
        <v>77.694999999999993</v>
      </c>
      <c r="D416">
        <v>88.352999999999994</v>
      </c>
      <c r="E416">
        <v>112.672</v>
      </c>
      <c r="F416">
        <v>0.13</v>
      </c>
      <c r="G416">
        <v>0.224</v>
      </c>
      <c r="H416">
        <v>0.51800000000000002</v>
      </c>
      <c r="I416">
        <v>0.98099999999999998</v>
      </c>
      <c r="J416">
        <v>1.8900000000000001</v>
      </c>
      <c r="K416">
        <v>7.2657447260529806E-2</v>
      </c>
      <c r="L416" s="112">
        <f>VLOOKUP(A416,[3]RESUMEN!$A:$AE,31,1)</f>
        <v>8.2832829304679348E-2</v>
      </c>
      <c r="M416" s="113">
        <f>VLOOKUP(A416,[3]RESUMEN!$A:$AH,34,1)</f>
        <v>0.39151423021668497</v>
      </c>
      <c r="N416" s="113">
        <f>VLOOKUP(A416,[3]RESUMEN!$A:$AI,35,1)</f>
        <v>0.23717352976068215</v>
      </c>
    </row>
    <row r="417" spans="1:14" x14ac:dyDescent="0.25">
      <c r="A417" s="102">
        <v>40550</v>
      </c>
      <c r="B417">
        <v>58.701000000000001</v>
      </c>
      <c r="C417">
        <v>78.293000000000006</v>
      </c>
      <c r="D417">
        <v>88.197999999999993</v>
      </c>
      <c r="E417">
        <v>112.658</v>
      </c>
      <c r="F417">
        <v>0.17</v>
      </c>
      <c r="G417">
        <v>0.22900000000000001</v>
      </c>
      <c r="H417">
        <v>0.54349999999999998</v>
      </c>
      <c r="I417">
        <v>0.99350000000000005</v>
      </c>
      <c r="J417">
        <v>1.8719999999999999</v>
      </c>
      <c r="K417">
        <v>7.2657447260529806E-2</v>
      </c>
      <c r="L417" s="112">
        <f>VLOOKUP(A417,[3]RESUMEN!$A:$AE,31,1)</f>
        <v>8.2832829304679348E-2</v>
      </c>
      <c r="M417" s="113">
        <f>VLOOKUP(A417,[3]RESUMEN!$A:$AH,34,1)</f>
        <v>0.39151423021668497</v>
      </c>
      <c r="N417" s="113">
        <f>VLOOKUP(A417,[3]RESUMEN!$A:$AI,35,1)</f>
        <v>0.23717352976068215</v>
      </c>
    </row>
    <row r="418" spans="1:14" x14ac:dyDescent="0.25">
      <c r="A418" s="102">
        <v>40557</v>
      </c>
      <c r="B418">
        <v>56.966999999999999</v>
      </c>
      <c r="C418">
        <v>73.813999999999993</v>
      </c>
      <c r="D418">
        <v>82.866</v>
      </c>
      <c r="E418">
        <v>107.869</v>
      </c>
      <c r="F418">
        <v>0.16</v>
      </c>
      <c r="G418">
        <v>0.217</v>
      </c>
      <c r="H418">
        <v>0.51900000000000002</v>
      </c>
      <c r="I418">
        <v>0.96399999999999997</v>
      </c>
      <c r="J418">
        <v>1.829</v>
      </c>
      <c r="K418">
        <v>6.9678205765997814E-2</v>
      </c>
      <c r="L418" s="112">
        <f>VLOOKUP(A418,[3]RESUMEN!$A:$AE,31,1)</f>
        <v>8.2832829304679348E-2</v>
      </c>
      <c r="M418" s="113">
        <f>VLOOKUP(A418,[3]RESUMEN!$A:$AH,34,1)</f>
        <v>0.39151423021668497</v>
      </c>
      <c r="N418" s="113">
        <f>VLOOKUP(A418,[3]RESUMEN!$A:$AI,35,1)</f>
        <v>0.23717352976068215</v>
      </c>
    </row>
    <row r="419" spans="1:14" x14ac:dyDescent="0.25">
      <c r="A419" s="102">
        <v>40564</v>
      </c>
      <c r="B419">
        <v>58.720999999999997</v>
      </c>
      <c r="C419">
        <v>74.197000000000003</v>
      </c>
      <c r="D419">
        <v>86.006</v>
      </c>
      <c r="E419">
        <v>110.31</v>
      </c>
      <c r="F419">
        <v>0.17</v>
      </c>
      <c r="G419">
        <v>0.2165</v>
      </c>
      <c r="H419">
        <v>0.55000000000000004</v>
      </c>
      <c r="I419">
        <v>1.0069999999999999</v>
      </c>
      <c r="J419">
        <v>1.923</v>
      </c>
      <c r="K419">
        <v>7.1199576396540731E-2</v>
      </c>
      <c r="L419" s="112">
        <f>VLOOKUP(A419,[3]RESUMEN!$A:$AE,31,1)</f>
        <v>8.2832829304679348E-2</v>
      </c>
      <c r="M419" s="113">
        <f>VLOOKUP(A419,[3]RESUMEN!$A:$AH,34,1)</f>
        <v>0.39151423021668497</v>
      </c>
      <c r="N419" s="113">
        <f>VLOOKUP(A419,[3]RESUMEN!$A:$AI,35,1)</f>
        <v>0.23717352976068215</v>
      </c>
    </row>
    <row r="420" spans="1:14" x14ac:dyDescent="0.25">
      <c r="A420" s="102">
        <v>40571</v>
      </c>
      <c r="B420">
        <v>63.104999999999997</v>
      </c>
      <c r="C420">
        <v>83.239000000000004</v>
      </c>
      <c r="D420">
        <v>96.344999999999999</v>
      </c>
      <c r="E420">
        <v>122.764</v>
      </c>
      <c r="F420">
        <v>0.17</v>
      </c>
      <c r="G420">
        <v>0.19400000000000001</v>
      </c>
      <c r="H420">
        <v>0.48099999999999998</v>
      </c>
      <c r="I420">
        <v>0.93799999999999994</v>
      </c>
      <c r="J420">
        <v>1.8454999999999999</v>
      </c>
      <c r="K420">
        <v>7.8715277637098402E-2</v>
      </c>
      <c r="L420" s="112">
        <f>VLOOKUP(A420,[3]RESUMEN!$A:$AE,31,1)</f>
        <v>8.2832829304679348E-2</v>
      </c>
      <c r="M420" s="113">
        <f>VLOOKUP(A420,[3]RESUMEN!$A:$AH,34,1)</f>
        <v>0.39151423021668497</v>
      </c>
      <c r="N420" s="113">
        <f>VLOOKUP(A420,[3]RESUMEN!$A:$AI,35,1)</f>
        <v>0.23717352976068215</v>
      </c>
    </row>
    <row r="421" spans="1:14" x14ac:dyDescent="0.25">
      <c r="A421" s="102">
        <v>40578</v>
      </c>
      <c r="B421">
        <v>55.286000000000001</v>
      </c>
      <c r="C421">
        <v>78.692999999999998</v>
      </c>
      <c r="D421">
        <v>89.995000000000005</v>
      </c>
      <c r="E421">
        <v>114.682</v>
      </c>
      <c r="F421">
        <v>0.17</v>
      </c>
      <c r="G421">
        <v>0.2515</v>
      </c>
      <c r="H421">
        <v>0.67649999999999999</v>
      </c>
      <c r="I421">
        <v>1.2255</v>
      </c>
      <c r="J421">
        <v>2.1785000000000001</v>
      </c>
      <c r="K421">
        <v>7.3912913677124492E-2</v>
      </c>
      <c r="L421" s="112">
        <f>VLOOKUP(A421,[3]RESUMEN!$A:$AE,31,1)</f>
        <v>8.2832829304679348E-2</v>
      </c>
      <c r="M421" s="113">
        <f>VLOOKUP(A421,[3]RESUMEN!$A:$AH,34,1)</f>
        <v>0.39151423021668497</v>
      </c>
      <c r="N421" s="113">
        <f>VLOOKUP(A421,[3]RESUMEN!$A:$AI,35,1)</f>
        <v>0.23717352976068215</v>
      </c>
    </row>
    <row r="422" spans="1:14" x14ac:dyDescent="0.25">
      <c r="A422" s="102">
        <v>40585</v>
      </c>
      <c r="B422">
        <v>59.707000000000001</v>
      </c>
      <c r="C422">
        <v>85.569000000000003</v>
      </c>
      <c r="D422">
        <v>98.566000000000003</v>
      </c>
      <c r="E422">
        <v>124.29900000000001</v>
      </c>
      <c r="F422">
        <v>0.15</v>
      </c>
      <c r="G422">
        <v>0.26900000000000002</v>
      </c>
      <c r="H422">
        <v>0.76549999999999996</v>
      </c>
      <c r="I422">
        <v>1.3420000000000001</v>
      </c>
      <c r="J422">
        <v>2.2865000000000002</v>
      </c>
      <c r="K422">
        <v>7.9864479786649567E-2</v>
      </c>
      <c r="L422" s="112">
        <f>VLOOKUP(A422,[3]RESUMEN!$A:$AE,31,1)</f>
        <v>8.2832829304679348E-2</v>
      </c>
      <c r="M422" s="113">
        <f>VLOOKUP(A422,[3]RESUMEN!$A:$AH,34,1)</f>
        <v>0.39151423021668497</v>
      </c>
      <c r="N422" s="113">
        <f>VLOOKUP(A422,[3]RESUMEN!$A:$AI,35,1)</f>
        <v>0.23717352976068215</v>
      </c>
    </row>
    <row r="423" spans="1:14" x14ac:dyDescent="0.25">
      <c r="A423" s="102">
        <v>40592</v>
      </c>
      <c r="B423">
        <v>54.290999999999997</v>
      </c>
      <c r="C423">
        <v>78.090999999999994</v>
      </c>
      <c r="D423">
        <v>91.686000000000007</v>
      </c>
      <c r="E423">
        <v>117.33</v>
      </c>
      <c r="F423">
        <v>0.15</v>
      </c>
      <c r="G423">
        <v>0.23100000000000001</v>
      </c>
      <c r="H423">
        <v>0.69650000000000001</v>
      </c>
      <c r="I423">
        <v>1.2509999999999999</v>
      </c>
      <c r="J423">
        <v>2.1920000000000002</v>
      </c>
      <c r="K423">
        <v>7.5576279774363875E-2</v>
      </c>
      <c r="L423" s="112">
        <f>VLOOKUP(A423,[3]RESUMEN!$A:$AE,31,1)</f>
        <v>8.2832829304679348E-2</v>
      </c>
      <c r="M423" s="113">
        <f>VLOOKUP(A423,[3]RESUMEN!$A:$AH,34,1)</f>
        <v>0.39151423021668497</v>
      </c>
      <c r="N423" s="113">
        <f>VLOOKUP(A423,[3]RESUMEN!$A:$AI,35,1)</f>
        <v>0.23717352976068215</v>
      </c>
    </row>
    <row r="424" spans="1:14" x14ac:dyDescent="0.25">
      <c r="A424" s="102">
        <v>40599</v>
      </c>
      <c r="B424">
        <v>55.335999999999999</v>
      </c>
      <c r="C424">
        <v>80.263000000000005</v>
      </c>
      <c r="D424">
        <v>93.71</v>
      </c>
      <c r="E424">
        <v>119.873</v>
      </c>
      <c r="F424">
        <v>0.15</v>
      </c>
      <c r="G424">
        <v>0.21229999999999999</v>
      </c>
      <c r="H424">
        <v>0.63849999999999996</v>
      </c>
      <c r="I424">
        <v>1.1804999999999999</v>
      </c>
      <c r="J424">
        <v>2.0870000000000002</v>
      </c>
      <c r="K424">
        <v>7.7155358575571209E-2</v>
      </c>
      <c r="L424" s="112">
        <f>VLOOKUP(A424,[3]RESUMEN!$A:$AE,31,1)</f>
        <v>8.2832829304679348E-2</v>
      </c>
      <c r="M424" s="113">
        <f>VLOOKUP(A424,[3]RESUMEN!$A:$AH,34,1)</f>
        <v>0.39151423021668497</v>
      </c>
      <c r="N424" s="113">
        <f>VLOOKUP(A424,[3]RESUMEN!$A:$AI,35,1)</f>
        <v>0.23717352976068215</v>
      </c>
    </row>
    <row r="425" spans="1:14" x14ac:dyDescent="0.25">
      <c r="A425" s="102">
        <v>40606</v>
      </c>
      <c r="B425">
        <v>49.615000000000002</v>
      </c>
      <c r="C425">
        <v>75.188000000000002</v>
      </c>
      <c r="D425">
        <v>87.947999999999993</v>
      </c>
      <c r="E425">
        <v>115.572</v>
      </c>
      <c r="F425">
        <v>0.15</v>
      </c>
      <c r="G425">
        <v>0.21</v>
      </c>
      <c r="H425">
        <v>0.626</v>
      </c>
      <c r="I425">
        <v>1.1719999999999999</v>
      </c>
      <c r="J425">
        <v>2.1230000000000002</v>
      </c>
      <c r="K425">
        <v>7.4515945640522108E-2</v>
      </c>
      <c r="L425" s="112">
        <f>VLOOKUP(A425,[3]RESUMEN!$A:$AE,31,1)</f>
        <v>8.2832829304679348E-2</v>
      </c>
      <c r="M425" s="113">
        <f>VLOOKUP(A425,[3]RESUMEN!$A:$AH,34,1)</f>
        <v>0.39151423021668497</v>
      </c>
      <c r="N425" s="113">
        <f>VLOOKUP(A425,[3]RESUMEN!$A:$AI,35,1)</f>
        <v>0.23717352976068215</v>
      </c>
    </row>
    <row r="426" spans="1:14" x14ac:dyDescent="0.25">
      <c r="A426" s="102">
        <v>40613</v>
      </c>
      <c r="B426">
        <v>49.993000000000002</v>
      </c>
      <c r="C426">
        <v>74.144000000000005</v>
      </c>
      <c r="D426">
        <v>87.634</v>
      </c>
      <c r="E426">
        <v>114.806</v>
      </c>
      <c r="F426">
        <v>0.13</v>
      </c>
      <c r="G426">
        <v>0.20949999999999999</v>
      </c>
      <c r="H426">
        <v>0.58199999999999996</v>
      </c>
      <c r="I426">
        <v>1.0780000000000001</v>
      </c>
      <c r="J426">
        <v>1.974</v>
      </c>
      <c r="K426">
        <v>7.4515945640522108E-2</v>
      </c>
      <c r="L426" s="112">
        <f>VLOOKUP(A426,[3]RESUMEN!$A:$AE,31,1)</f>
        <v>8.2832829304679348E-2</v>
      </c>
      <c r="M426" s="113">
        <f>VLOOKUP(A426,[3]RESUMEN!$A:$AH,34,1)</f>
        <v>0.39151423021668497</v>
      </c>
      <c r="N426" s="113">
        <f>VLOOKUP(A426,[3]RESUMEN!$A:$AI,35,1)</f>
        <v>0.23717352976068215</v>
      </c>
    </row>
    <row r="427" spans="1:14" x14ac:dyDescent="0.25">
      <c r="A427" s="102">
        <v>40620</v>
      </c>
      <c r="B427">
        <v>50.427</v>
      </c>
      <c r="C427">
        <v>76.548000000000002</v>
      </c>
      <c r="D427">
        <v>90.772000000000006</v>
      </c>
      <c r="E427">
        <v>117.34699999999999</v>
      </c>
      <c r="F427">
        <v>0.15</v>
      </c>
      <c r="G427">
        <v>0.21</v>
      </c>
      <c r="H427">
        <v>0.54849999999999999</v>
      </c>
      <c r="I427">
        <v>1.012</v>
      </c>
      <c r="J427">
        <v>1.8725000000000001</v>
      </c>
      <c r="K427">
        <v>7.5232348044454889E-2</v>
      </c>
      <c r="L427" s="112">
        <f>VLOOKUP(A427,[3]RESUMEN!$A:$AE,31,1)</f>
        <v>8.2832829304679348E-2</v>
      </c>
      <c r="M427" s="113">
        <f>VLOOKUP(A427,[3]RESUMEN!$A:$AH,34,1)</f>
        <v>0.39151423021668497</v>
      </c>
      <c r="N427" s="113">
        <f>VLOOKUP(A427,[3]RESUMEN!$A:$AI,35,1)</f>
        <v>0.23717352976068215</v>
      </c>
    </row>
    <row r="428" spans="1:14" x14ac:dyDescent="0.25">
      <c r="A428" s="102">
        <v>40627</v>
      </c>
      <c r="B428">
        <v>48.746000000000002</v>
      </c>
      <c r="C428">
        <v>72.02</v>
      </c>
      <c r="D428">
        <v>88.718999999999994</v>
      </c>
      <c r="E428">
        <v>113.9</v>
      </c>
      <c r="F428">
        <v>0.13</v>
      </c>
      <c r="G428">
        <v>0.254</v>
      </c>
      <c r="H428">
        <v>0.68899999999999995</v>
      </c>
      <c r="I428">
        <v>1.2135</v>
      </c>
      <c r="J428">
        <v>2.0939999999999999</v>
      </c>
      <c r="K428">
        <v>7.3468782781746955E-2</v>
      </c>
      <c r="L428" s="112">
        <f>VLOOKUP(A428,[3]RESUMEN!$A:$AE,31,1)</f>
        <v>8.2832829304679348E-2</v>
      </c>
      <c r="M428" s="113">
        <f>VLOOKUP(A428,[3]RESUMEN!$A:$AH,34,1)</f>
        <v>0.39151423021668497</v>
      </c>
      <c r="N428" s="113">
        <f>VLOOKUP(A428,[3]RESUMEN!$A:$AI,35,1)</f>
        <v>0.23717352976068215</v>
      </c>
    </row>
    <row r="429" spans="1:14" x14ac:dyDescent="0.25">
      <c r="A429" s="102">
        <v>40634</v>
      </c>
      <c r="B429">
        <v>44.143000000000001</v>
      </c>
      <c r="C429">
        <v>65.914000000000001</v>
      </c>
      <c r="D429">
        <v>80.134</v>
      </c>
      <c r="E429">
        <v>107.83799999999999</v>
      </c>
      <c r="F429">
        <v>0.11</v>
      </c>
      <c r="G429">
        <v>0.2485</v>
      </c>
      <c r="H429">
        <v>0.75</v>
      </c>
      <c r="I429">
        <v>1.3025</v>
      </c>
      <c r="J429">
        <v>2.1615000000000002</v>
      </c>
      <c r="K429">
        <v>6.9725351001151625E-2</v>
      </c>
      <c r="L429" s="112">
        <f>VLOOKUP(A429,[3]RESUMEN!$A:$AE,31,1)</f>
        <v>0.20810403437438857</v>
      </c>
      <c r="M429" s="113">
        <f>VLOOKUP(A429,[3]RESUMEN!$A:$AH,34,1)</f>
        <v>0.54038619892519812</v>
      </c>
      <c r="N429" s="113">
        <f>VLOOKUP(A429,[3]RESUMEN!$A:$AI,35,1)</f>
        <v>0.37424511664979332</v>
      </c>
    </row>
    <row r="430" spans="1:14" x14ac:dyDescent="0.25">
      <c r="A430" s="102">
        <v>40641</v>
      </c>
      <c r="B430">
        <v>37.796999999999997</v>
      </c>
      <c r="C430">
        <v>58.843000000000004</v>
      </c>
      <c r="D430">
        <v>74.730999999999995</v>
      </c>
      <c r="E430">
        <v>101.837</v>
      </c>
      <c r="F430">
        <v>0.09</v>
      </c>
      <c r="G430">
        <v>0.2505</v>
      </c>
      <c r="H430">
        <v>0.76400000000000001</v>
      </c>
      <c r="I430">
        <v>1.331</v>
      </c>
      <c r="J430">
        <v>2.2324999999999999</v>
      </c>
      <c r="K430">
        <v>6.5988845202034629E-2</v>
      </c>
      <c r="L430" s="112">
        <f>VLOOKUP(A430,[3]RESUMEN!$A:$AE,31,1)</f>
        <v>0.20810403437438857</v>
      </c>
      <c r="M430" s="113">
        <f>VLOOKUP(A430,[3]RESUMEN!$A:$AH,34,1)</f>
        <v>0.54038619892519812</v>
      </c>
      <c r="N430" s="113">
        <f>VLOOKUP(A430,[3]RESUMEN!$A:$AI,35,1)</f>
        <v>0.37424511664979332</v>
      </c>
    </row>
    <row r="431" spans="1:14" x14ac:dyDescent="0.25">
      <c r="A431" s="102">
        <v>40648</v>
      </c>
      <c r="B431">
        <v>34.976999999999997</v>
      </c>
      <c r="C431">
        <v>58.761000000000003</v>
      </c>
      <c r="D431">
        <v>72.945999999999998</v>
      </c>
      <c r="E431">
        <v>99.688000000000002</v>
      </c>
      <c r="F431">
        <v>0.12</v>
      </c>
      <c r="G431">
        <v>0.22550000000000001</v>
      </c>
      <c r="H431">
        <v>0.66200000000000003</v>
      </c>
      <c r="I431">
        <v>1.1859999999999999</v>
      </c>
      <c r="J431">
        <v>2.0649999999999999</v>
      </c>
      <c r="K431">
        <v>6.4639179736828312E-2</v>
      </c>
      <c r="L431" s="112">
        <f>VLOOKUP(A431,[3]RESUMEN!$A:$AE,31,1)</f>
        <v>0.20810403437438857</v>
      </c>
      <c r="M431" s="113">
        <f>VLOOKUP(A431,[3]RESUMEN!$A:$AH,34,1)</f>
        <v>0.54038619892519812</v>
      </c>
      <c r="N431" s="113">
        <f>VLOOKUP(A431,[3]RESUMEN!$A:$AI,35,1)</f>
        <v>0.37424511664979332</v>
      </c>
    </row>
    <row r="432" spans="1:14" x14ac:dyDescent="0.25">
      <c r="A432" s="102">
        <v>40655</v>
      </c>
      <c r="B432">
        <v>35.944000000000003</v>
      </c>
      <c r="C432">
        <v>56.89</v>
      </c>
      <c r="D432">
        <v>74.179000000000002</v>
      </c>
      <c r="E432">
        <v>101.337</v>
      </c>
      <c r="F432">
        <v>0.1</v>
      </c>
      <c r="G432">
        <v>0.22800000000000001</v>
      </c>
      <c r="H432">
        <v>0.64200000000000002</v>
      </c>
      <c r="I432">
        <v>1.1719999999999999</v>
      </c>
      <c r="J432">
        <v>2.0579999999999998</v>
      </c>
      <c r="K432">
        <v>6.5264006363548344E-2</v>
      </c>
      <c r="L432" s="112">
        <f>VLOOKUP(A432,[3]RESUMEN!$A:$AE,31,1)</f>
        <v>0.20810403437438857</v>
      </c>
      <c r="M432" s="113">
        <f>VLOOKUP(A432,[3]RESUMEN!$A:$AH,34,1)</f>
        <v>0.54038619892519812</v>
      </c>
      <c r="N432" s="113">
        <f>VLOOKUP(A432,[3]RESUMEN!$A:$AI,35,1)</f>
        <v>0.37424511664979332</v>
      </c>
    </row>
    <row r="433" spans="1:14" x14ac:dyDescent="0.25">
      <c r="A433" s="102">
        <v>40662</v>
      </c>
      <c r="B433">
        <v>38.003</v>
      </c>
      <c r="C433">
        <v>58.604999999999997</v>
      </c>
      <c r="D433">
        <v>72.287999999999997</v>
      </c>
      <c r="E433">
        <v>100.17700000000001</v>
      </c>
      <c r="F433">
        <v>0.09</v>
      </c>
      <c r="G433">
        <v>0.21</v>
      </c>
      <c r="H433">
        <v>0.56999999999999995</v>
      </c>
      <c r="I433">
        <v>1.044</v>
      </c>
      <c r="J433">
        <v>1.9060000000000001</v>
      </c>
      <c r="K433">
        <v>6.5264006363548344E-2</v>
      </c>
      <c r="L433" s="112">
        <f>VLOOKUP(A433,[3]RESUMEN!$A:$AE,31,1)</f>
        <v>0.20810403437438857</v>
      </c>
      <c r="M433" s="113">
        <f>VLOOKUP(A433,[3]RESUMEN!$A:$AH,34,1)</f>
        <v>0.54038619892519812</v>
      </c>
      <c r="N433" s="113">
        <f>VLOOKUP(A433,[3]RESUMEN!$A:$AI,35,1)</f>
        <v>0.37424511664979332</v>
      </c>
    </row>
    <row r="434" spans="1:14" x14ac:dyDescent="0.25">
      <c r="A434" s="102">
        <v>40669</v>
      </c>
      <c r="B434">
        <v>35.084000000000003</v>
      </c>
      <c r="C434">
        <v>57.393000000000001</v>
      </c>
      <c r="D434">
        <v>73.706000000000003</v>
      </c>
      <c r="E434">
        <v>99.81</v>
      </c>
      <c r="F434">
        <v>0.09</v>
      </c>
      <c r="G434">
        <v>0.191</v>
      </c>
      <c r="H434">
        <v>0.54400000000000004</v>
      </c>
      <c r="I434">
        <v>0.99550000000000005</v>
      </c>
      <c r="J434">
        <v>1.839</v>
      </c>
      <c r="K434">
        <v>6.5264006363548344E-2</v>
      </c>
      <c r="L434" s="112">
        <f>VLOOKUP(A434,[3]RESUMEN!$A:$AE,31,1)</f>
        <v>0.20810403437438857</v>
      </c>
      <c r="M434" s="113">
        <f>VLOOKUP(A434,[3]RESUMEN!$A:$AH,34,1)</f>
        <v>0.54038619892519812</v>
      </c>
      <c r="N434" s="113">
        <f>VLOOKUP(A434,[3]RESUMEN!$A:$AI,35,1)</f>
        <v>0.37424511664979332</v>
      </c>
    </row>
    <row r="435" spans="1:14" x14ac:dyDescent="0.25">
      <c r="A435" s="102">
        <v>40676</v>
      </c>
      <c r="B435">
        <v>35.335000000000001</v>
      </c>
      <c r="C435">
        <v>58.390999999999998</v>
      </c>
      <c r="D435">
        <v>74.748000000000005</v>
      </c>
      <c r="E435">
        <v>101.33499999999999</v>
      </c>
      <c r="F435">
        <v>0.09</v>
      </c>
      <c r="G435">
        <v>0.187</v>
      </c>
      <c r="H435">
        <v>0.52400000000000002</v>
      </c>
      <c r="I435">
        <v>0.97399999999999998</v>
      </c>
      <c r="J435">
        <v>1.8239999999999998</v>
      </c>
      <c r="K435">
        <v>6.5264006363548344E-2</v>
      </c>
      <c r="L435" s="112">
        <f>VLOOKUP(A435,[3]RESUMEN!$A:$AE,31,1)</f>
        <v>0.20810403437438857</v>
      </c>
      <c r="M435" s="113">
        <f>VLOOKUP(A435,[3]RESUMEN!$A:$AH,34,1)</f>
        <v>0.54038619892519812</v>
      </c>
      <c r="N435" s="113">
        <f>VLOOKUP(A435,[3]RESUMEN!$A:$AI,35,1)</f>
        <v>0.37424511664979332</v>
      </c>
    </row>
    <row r="436" spans="1:14" x14ac:dyDescent="0.25">
      <c r="A436" s="102">
        <v>40683</v>
      </c>
      <c r="B436">
        <v>34.167999999999999</v>
      </c>
      <c r="C436">
        <v>57.920999999999999</v>
      </c>
      <c r="D436">
        <v>72.536000000000001</v>
      </c>
      <c r="E436">
        <v>99.918000000000006</v>
      </c>
      <c r="F436">
        <v>0.1</v>
      </c>
      <c r="G436">
        <v>0.17699999999999999</v>
      </c>
      <c r="H436">
        <v>0.49199999999999999</v>
      </c>
      <c r="I436">
        <v>0.93400000000000005</v>
      </c>
      <c r="J436">
        <v>1.794</v>
      </c>
      <c r="K436">
        <v>6.5264006363548344E-2</v>
      </c>
      <c r="L436" s="112">
        <f>VLOOKUP(A436,[3]RESUMEN!$A:$AE,31,1)</f>
        <v>0.20810403437438857</v>
      </c>
      <c r="M436" s="113">
        <f>VLOOKUP(A436,[3]RESUMEN!$A:$AH,34,1)</f>
        <v>0.54038619892519812</v>
      </c>
      <c r="N436" s="113">
        <f>VLOOKUP(A436,[3]RESUMEN!$A:$AI,35,1)</f>
        <v>0.37424511664979332</v>
      </c>
    </row>
    <row r="437" spans="1:14" x14ac:dyDescent="0.25">
      <c r="A437" s="102">
        <v>40690</v>
      </c>
      <c r="B437">
        <v>36.273000000000003</v>
      </c>
      <c r="C437">
        <v>61.09</v>
      </c>
      <c r="D437">
        <v>79.884</v>
      </c>
      <c r="E437">
        <v>105.08799999999999</v>
      </c>
      <c r="F437">
        <v>0.1</v>
      </c>
      <c r="G437">
        <v>0.16900000000000001</v>
      </c>
      <c r="H437">
        <v>0.43099999999999999</v>
      </c>
      <c r="I437">
        <v>0.85</v>
      </c>
      <c r="J437">
        <v>1.6909999999999998</v>
      </c>
      <c r="K437">
        <v>6.8014815010181806E-2</v>
      </c>
      <c r="L437" s="112">
        <f>VLOOKUP(A437,[3]RESUMEN!$A:$AE,31,1)</f>
        <v>0.20810403437438857</v>
      </c>
      <c r="M437" s="113">
        <f>VLOOKUP(A437,[3]RESUMEN!$A:$AH,34,1)</f>
        <v>0.54038619892519812</v>
      </c>
      <c r="N437" s="113">
        <f>VLOOKUP(A437,[3]RESUMEN!$A:$AI,35,1)</f>
        <v>0.37424511664979332</v>
      </c>
    </row>
    <row r="438" spans="1:14" x14ac:dyDescent="0.25">
      <c r="A438" s="102">
        <v>40697</v>
      </c>
      <c r="B438">
        <v>35.921999999999997</v>
      </c>
      <c r="C438">
        <v>58.972000000000001</v>
      </c>
      <c r="D438">
        <v>75.37</v>
      </c>
      <c r="E438">
        <v>102.5</v>
      </c>
      <c r="F438">
        <v>0.11</v>
      </c>
      <c r="G438">
        <v>0.17399999999999999</v>
      </c>
      <c r="H438">
        <v>0.40400000000000003</v>
      </c>
      <c r="I438">
        <v>0.77800000000000002</v>
      </c>
      <c r="J438">
        <v>1.605</v>
      </c>
      <c r="K438">
        <v>6.6410552367491493E-2</v>
      </c>
      <c r="L438" s="112">
        <f>VLOOKUP(A438,[3]RESUMEN!$A:$AE,31,1)</f>
        <v>0.20810403437438857</v>
      </c>
      <c r="M438" s="113">
        <f>VLOOKUP(A438,[3]RESUMEN!$A:$AH,34,1)</f>
        <v>0.54038619892519812</v>
      </c>
      <c r="N438" s="113">
        <f>VLOOKUP(A438,[3]RESUMEN!$A:$AI,35,1)</f>
        <v>0.37424511664979332</v>
      </c>
    </row>
    <row r="439" spans="1:14" x14ac:dyDescent="0.25">
      <c r="A439" s="102">
        <v>40704</v>
      </c>
      <c r="B439">
        <v>37.456000000000003</v>
      </c>
      <c r="C439">
        <v>60.97</v>
      </c>
      <c r="D439">
        <v>79.677999999999997</v>
      </c>
      <c r="E439">
        <v>106.422</v>
      </c>
      <c r="F439">
        <v>0.09</v>
      </c>
      <c r="G439">
        <v>0.17599999999999999</v>
      </c>
      <c r="H439">
        <v>0.373</v>
      </c>
      <c r="I439">
        <v>0.71099999999999997</v>
      </c>
      <c r="J439">
        <v>1.538</v>
      </c>
      <c r="K439">
        <v>6.8860658347127623E-2</v>
      </c>
      <c r="L439" s="112">
        <f>VLOOKUP(A439,[3]RESUMEN!$A:$AE,31,1)</f>
        <v>0.20810403437438857</v>
      </c>
      <c r="M439" s="113">
        <f>VLOOKUP(A439,[3]RESUMEN!$A:$AH,34,1)</f>
        <v>0.54038619892519812</v>
      </c>
      <c r="N439" s="113">
        <f>VLOOKUP(A439,[3]RESUMEN!$A:$AI,35,1)</f>
        <v>0.37424511664979332</v>
      </c>
    </row>
    <row r="440" spans="1:14" x14ac:dyDescent="0.25">
      <c r="A440" s="102">
        <v>40711</v>
      </c>
      <c r="B440">
        <v>41.475999999999999</v>
      </c>
      <c r="C440">
        <v>65.284000000000006</v>
      </c>
      <c r="D440">
        <v>81.909000000000006</v>
      </c>
      <c r="E440">
        <v>110.675</v>
      </c>
      <c r="F440">
        <v>0.1</v>
      </c>
      <c r="G440">
        <v>0.18149999999999999</v>
      </c>
      <c r="H440">
        <v>0.378</v>
      </c>
      <c r="I440">
        <v>0.73399999999999999</v>
      </c>
      <c r="J440">
        <v>1.55</v>
      </c>
      <c r="K440">
        <v>7.151688940876888E-2</v>
      </c>
      <c r="L440" s="112">
        <f>VLOOKUP(A440,[3]RESUMEN!$A:$AE,31,1)</f>
        <v>0.20810403437438857</v>
      </c>
      <c r="M440" s="113">
        <f>VLOOKUP(A440,[3]RESUMEN!$A:$AH,34,1)</f>
        <v>0.54038619892519812</v>
      </c>
      <c r="N440" s="113">
        <f>VLOOKUP(A440,[3]RESUMEN!$A:$AI,35,1)</f>
        <v>0.37424511664979332</v>
      </c>
    </row>
    <row r="441" spans="1:14" x14ac:dyDescent="0.25">
      <c r="A441" s="102">
        <v>40718</v>
      </c>
      <c r="B441">
        <v>45.301000000000002</v>
      </c>
      <c r="C441">
        <v>68.518000000000001</v>
      </c>
      <c r="D441">
        <v>85.481999999999999</v>
      </c>
      <c r="E441">
        <v>114.886</v>
      </c>
      <c r="F441">
        <v>0.08</v>
      </c>
      <c r="G441">
        <v>0.16500000000000001</v>
      </c>
      <c r="H441">
        <v>0.32900000000000001</v>
      </c>
      <c r="I441">
        <v>0.63900000000000001</v>
      </c>
      <c r="J441">
        <v>1.444</v>
      </c>
      <c r="K441">
        <v>7.4134735467486279E-2</v>
      </c>
      <c r="L441" s="112">
        <f>VLOOKUP(A441,[3]RESUMEN!$A:$AE,31,1)</f>
        <v>0.20810403437438857</v>
      </c>
      <c r="M441" s="113">
        <f>VLOOKUP(A441,[3]RESUMEN!$A:$AH,34,1)</f>
        <v>0.54038619892519812</v>
      </c>
      <c r="N441" s="113">
        <f>VLOOKUP(A441,[3]RESUMEN!$A:$AI,35,1)</f>
        <v>0.37424511664979332</v>
      </c>
    </row>
    <row r="442" spans="1:14" x14ac:dyDescent="0.25">
      <c r="A442" s="102">
        <v>40725</v>
      </c>
      <c r="B442">
        <v>40.521999999999998</v>
      </c>
      <c r="C442">
        <v>64.497</v>
      </c>
      <c r="D442">
        <v>80.786000000000001</v>
      </c>
      <c r="E442">
        <v>107.36799999999999</v>
      </c>
      <c r="F442">
        <v>0.08</v>
      </c>
      <c r="G442">
        <v>0.19900000000000001</v>
      </c>
      <c r="H442">
        <v>0.47899999999999998</v>
      </c>
      <c r="I442">
        <v>0.90300000000000002</v>
      </c>
      <c r="J442">
        <v>1.7749999999999999</v>
      </c>
      <c r="K442">
        <v>6.943202767332568E-2</v>
      </c>
      <c r="L442" s="112">
        <f>VLOOKUP(A442,[3]RESUMEN!$A:$AE,31,1)</f>
        <v>0.47737547631939359</v>
      </c>
      <c r="M442" s="113">
        <f>VLOOKUP(A442,[3]RESUMEN!$A:$AH,34,1)</f>
        <v>0.59993510229354552</v>
      </c>
      <c r="N442" s="113">
        <f>VLOOKUP(A442,[3]RESUMEN!$A:$AI,35,1)</f>
        <v>0.53865528930646955</v>
      </c>
    </row>
    <row r="443" spans="1:14" x14ac:dyDescent="0.25">
      <c r="A443" s="102">
        <v>40732</v>
      </c>
      <c r="B443">
        <v>41.491</v>
      </c>
      <c r="C443">
        <v>62.933</v>
      </c>
      <c r="D443">
        <v>78.257000000000005</v>
      </c>
      <c r="E443">
        <v>105.997</v>
      </c>
      <c r="F443">
        <v>7.0000000000000007E-2</v>
      </c>
      <c r="G443">
        <v>0.159</v>
      </c>
      <c r="H443">
        <v>0.36199999999999999</v>
      </c>
      <c r="I443">
        <v>0.73099999999999998</v>
      </c>
      <c r="J443">
        <v>1.5880000000000001</v>
      </c>
      <c r="K443">
        <v>6.8762148511652299E-2</v>
      </c>
      <c r="L443" s="112">
        <f>VLOOKUP(A443,[3]RESUMEN!$A:$AE,31,1)</f>
        <v>0.47737547631939359</v>
      </c>
      <c r="M443" s="113">
        <f>VLOOKUP(A443,[3]RESUMEN!$A:$AH,34,1)</f>
        <v>0.59993510229354552</v>
      </c>
      <c r="N443" s="113">
        <f>VLOOKUP(A443,[3]RESUMEN!$A:$AI,35,1)</f>
        <v>0.53865528930646955</v>
      </c>
    </row>
    <row r="444" spans="1:14" x14ac:dyDescent="0.25">
      <c r="A444" s="102">
        <v>40739</v>
      </c>
      <c r="B444">
        <v>46.113</v>
      </c>
      <c r="C444">
        <v>70.238</v>
      </c>
      <c r="D444">
        <v>86.513000000000005</v>
      </c>
      <c r="E444">
        <v>114.73</v>
      </c>
      <c r="F444">
        <v>0.06</v>
      </c>
      <c r="G444">
        <v>0.156</v>
      </c>
      <c r="H444">
        <v>0.307</v>
      </c>
      <c r="I444">
        <v>0.629</v>
      </c>
      <c r="J444">
        <v>1.45</v>
      </c>
      <c r="K444">
        <v>7.4016847169406041E-2</v>
      </c>
      <c r="L444" s="112">
        <f>VLOOKUP(A444,[3]RESUMEN!$A:$AE,31,1)</f>
        <v>0.47737547631939359</v>
      </c>
      <c r="M444" s="113">
        <f>VLOOKUP(A444,[3]RESUMEN!$A:$AH,34,1)</f>
        <v>0.59993510229354552</v>
      </c>
      <c r="N444" s="113">
        <f>VLOOKUP(A444,[3]RESUMEN!$A:$AI,35,1)</f>
        <v>0.53865528930646955</v>
      </c>
    </row>
    <row r="445" spans="1:14" x14ac:dyDescent="0.25">
      <c r="A445" s="102">
        <v>40746</v>
      </c>
      <c r="B445">
        <v>43.005000000000003</v>
      </c>
      <c r="C445">
        <v>66.67</v>
      </c>
      <c r="D445">
        <v>82.004999999999995</v>
      </c>
      <c r="E445">
        <v>109.962</v>
      </c>
      <c r="F445">
        <v>0.06</v>
      </c>
      <c r="G445">
        <v>0.17</v>
      </c>
      <c r="H445">
        <v>0.33100000000000002</v>
      </c>
      <c r="I445">
        <v>0.65</v>
      </c>
      <c r="J445">
        <v>1.4689999999999999</v>
      </c>
      <c r="K445">
        <v>7.105695436397963E-2</v>
      </c>
      <c r="L445" s="112">
        <f>VLOOKUP(A445,[3]RESUMEN!$A:$AE,31,1)</f>
        <v>0.47737547631939359</v>
      </c>
      <c r="M445" s="113">
        <f>VLOOKUP(A445,[3]RESUMEN!$A:$AH,34,1)</f>
        <v>0.59993510229354552</v>
      </c>
      <c r="N445" s="113">
        <f>VLOOKUP(A445,[3]RESUMEN!$A:$AI,35,1)</f>
        <v>0.53865528930646955</v>
      </c>
    </row>
    <row r="446" spans="1:14" x14ac:dyDescent="0.25">
      <c r="A446" s="102">
        <v>40753</v>
      </c>
      <c r="B446">
        <v>43.606000000000002</v>
      </c>
      <c r="C446">
        <v>67</v>
      </c>
      <c r="D446">
        <v>83.004999999999995</v>
      </c>
      <c r="E446">
        <v>111.771</v>
      </c>
      <c r="F446">
        <v>0.11</v>
      </c>
      <c r="G446">
        <v>0.16600000000000001</v>
      </c>
      <c r="H446">
        <v>0.26700000000000002</v>
      </c>
      <c r="I446">
        <v>0.51400000000000001</v>
      </c>
      <c r="J446">
        <v>1.278</v>
      </c>
      <c r="K446">
        <v>7.1741406025118581E-2</v>
      </c>
      <c r="L446" s="112">
        <f>VLOOKUP(A446,[3]RESUMEN!$A:$AE,31,1)</f>
        <v>0.47737547631939359</v>
      </c>
      <c r="M446" s="113">
        <f>VLOOKUP(A446,[3]RESUMEN!$A:$AH,34,1)</f>
        <v>0.59993510229354552</v>
      </c>
      <c r="N446" s="113">
        <f>VLOOKUP(A446,[3]RESUMEN!$A:$AI,35,1)</f>
        <v>0.53865528930646955</v>
      </c>
    </row>
    <row r="447" spans="1:14" x14ac:dyDescent="0.25">
      <c r="A447" s="102">
        <v>40760</v>
      </c>
      <c r="B447">
        <v>48.999000000000002</v>
      </c>
      <c r="C447">
        <v>79.129000000000005</v>
      </c>
      <c r="D447">
        <v>94.084000000000003</v>
      </c>
      <c r="E447">
        <v>127.66500000000001</v>
      </c>
      <c r="F447">
        <v>0.08</v>
      </c>
      <c r="G447">
        <v>0.10299999999999999</v>
      </c>
      <c r="H447">
        <v>0.20499999999999999</v>
      </c>
      <c r="I447">
        <v>0.45400000000000001</v>
      </c>
      <c r="J447">
        <v>1.19</v>
      </c>
      <c r="K447">
        <v>8.2056835763590685E-2</v>
      </c>
      <c r="L447" s="112">
        <f>VLOOKUP(A447,[3]RESUMEN!$A:$AE,31,1)</f>
        <v>0.47737547631939359</v>
      </c>
      <c r="M447" s="113">
        <f>VLOOKUP(A447,[3]RESUMEN!$A:$AH,34,1)</f>
        <v>0.59993510229354552</v>
      </c>
      <c r="N447" s="113">
        <f>VLOOKUP(A447,[3]RESUMEN!$A:$AI,35,1)</f>
        <v>0.53865528930646955</v>
      </c>
    </row>
    <row r="448" spans="1:14" x14ac:dyDescent="0.25">
      <c r="A448" s="102">
        <v>40767</v>
      </c>
      <c r="B448">
        <v>64.555999999999997</v>
      </c>
      <c r="C448">
        <v>93.957999999999998</v>
      </c>
      <c r="D448">
        <v>117.664</v>
      </c>
      <c r="E448">
        <v>154.333</v>
      </c>
      <c r="F448">
        <v>0.1</v>
      </c>
      <c r="G448">
        <v>8.6999999999999994E-2</v>
      </c>
      <c r="H448">
        <v>9.6000000000000002E-2</v>
      </c>
      <c r="I448">
        <v>0.24199999999999999</v>
      </c>
      <c r="J448">
        <v>0.879</v>
      </c>
      <c r="K448">
        <v>9.8354447054248895E-2</v>
      </c>
      <c r="L448" s="112">
        <f>VLOOKUP(A448,[3]RESUMEN!$A:$AE,31,1)</f>
        <v>0.47737547631939359</v>
      </c>
      <c r="M448" s="113">
        <f>VLOOKUP(A448,[3]RESUMEN!$A:$AH,34,1)</f>
        <v>0.59993510229354552</v>
      </c>
      <c r="N448" s="113">
        <f>VLOOKUP(A448,[3]RESUMEN!$A:$AI,35,1)</f>
        <v>0.53865528930646955</v>
      </c>
    </row>
    <row r="449" spans="1:14" x14ac:dyDescent="0.25">
      <c r="A449" s="102">
        <v>40774</v>
      </c>
      <c r="B449">
        <v>61.923000000000002</v>
      </c>
      <c r="C449">
        <v>93.11</v>
      </c>
      <c r="D449">
        <v>110.313</v>
      </c>
      <c r="E449">
        <v>143.75399999999999</v>
      </c>
      <c r="F449">
        <v>0.09</v>
      </c>
      <c r="G449">
        <v>8.3000000000000004E-2</v>
      </c>
      <c r="H449">
        <v>0.10199999999999999</v>
      </c>
      <c r="I449">
        <v>0.246</v>
      </c>
      <c r="J449">
        <v>0.81</v>
      </c>
      <c r="K449">
        <v>9.1879126386023469E-2</v>
      </c>
      <c r="L449" s="112">
        <f>VLOOKUP(A449,[3]RESUMEN!$A:$AE,31,1)</f>
        <v>0.47737547631939359</v>
      </c>
      <c r="M449" s="113">
        <f>VLOOKUP(A449,[3]RESUMEN!$A:$AH,34,1)</f>
        <v>0.59993510229354552</v>
      </c>
      <c r="N449" s="113">
        <f>VLOOKUP(A449,[3]RESUMEN!$A:$AI,35,1)</f>
        <v>0.53865528930646955</v>
      </c>
    </row>
    <row r="450" spans="1:14" x14ac:dyDescent="0.25">
      <c r="A450" s="102">
        <v>40781</v>
      </c>
      <c r="B450">
        <v>62.042999999999999</v>
      </c>
      <c r="C450">
        <v>105.842</v>
      </c>
      <c r="D450">
        <v>126.822</v>
      </c>
      <c r="E450">
        <v>162.27600000000001</v>
      </c>
      <c r="F450">
        <v>0.09</v>
      </c>
      <c r="G450">
        <v>7.9000000000000001E-2</v>
      </c>
      <c r="H450">
        <v>0.107</v>
      </c>
      <c r="I450">
        <v>0.26100000000000001</v>
      </c>
      <c r="J450">
        <v>0.85799999999999998</v>
      </c>
      <c r="K450">
        <v>0.10313477846389429</v>
      </c>
      <c r="L450" s="112">
        <f>VLOOKUP(A450,[3]RESUMEN!$A:$AE,31,1)</f>
        <v>0.47737547631939359</v>
      </c>
      <c r="M450" s="113">
        <f>VLOOKUP(A450,[3]RESUMEN!$A:$AH,34,1)</f>
        <v>0.59993510229354552</v>
      </c>
      <c r="N450" s="113">
        <f>VLOOKUP(A450,[3]RESUMEN!$A:$AI,35,1)</f>
        <v>0.53865528930646955</v>
      </c>
    </row>
    <row r="451" spans="1:14" x14ac:dyDescent="0.25">
      <c r="A451" s="102">
        <v>40788</v>
      </c>
      <c r="B451">
        <v>61.296999999999997</v>
      </c>
      <c r="C451">
        <v>97.049000000000007</v>
      </c>
      <c r="D451">
        <v>117.998</v>
      </c>
      <c r="E451">
        <v>149.232</v>
      </c>
      <c r="F451">
        <v>0.08</v>
      </c>
      <c r="G451">
        <v>9.35E-2</v>
      </c>
      <c r="H451">
        <v>0.11849999999999999</v>
      </c>
      <c r="I451">
        <v>0.249</v>
      </c>
      <c r="J451">
        <v>0.77900000000000003</v>
      </c>
      <c r="K451">
        <v>9.5194292742874609E-2</v>
      </c>
      <c r="L451" s="112">
        <f>VLOOKUP(A451,[3]RESUMEN!$A:$AE,31,1)</f>
        <v>0.47737547631939359</v>
      </c>
      <c r="M451" s="113">
        <f>VLOOKUP(A451,[3]RESUMEN!$A:$AH,34,1)</f>
        <v>0.59993510229354552</v>
      </c>
      <c r="N451" s="113">
        <f>VLOOKUP(A451,[3]RESUMEN!$A:$AI,35,1)</f>
        <v>0.53865528930646955</v>
      </c>
    </row>
    <row r="452" spans="1:14" x14ac:dyDescent="0.25">
      <c r="A452" s="102">
        <v>40795</v>
      </c>
      <c r="B452">
        <v>69.619</v>
      </c>
      <c r="C452">
        <v>105.474</v>
      </c>
      <c r="D452">
        <v>131.12200000000001</v>
      </c>
      <c r="E452">
        <v>168.31</v>
      </c>
      <c r="F452">
        <v>0.09</v>
      </c>
      <c r="G452">
        <v>8.3000000000000004E-2</v>
      </c>
      <c r="H452">
        <v>0.10299999999999999</v>
      </c>
      <c r="I452">
        <v>0.23599999999999999</v>
      </c>
      <c r="J452">
        <v>0.75</v>
      </c>
      <c r="K452">
        <v>0.10679436030292222</v>
      </c>
      <c r="L452" s="112">
        <f>VLOOKUP(A452,[3]RESUMEN!$A:$AE,31,1)</f>
        <v>0.47737547631939359</v>
      </c>
      <c r="M452" s="113">
        <f>VLOOKUP(A452,[3]RESUMEN!$A:$AH,34,1)</f>
        <v>0.59993510229354552</v>
      </c>
      <c r="N452" s="113">
        <f>VLOOKUP(A452,[3]RESUMEN!$A:$AI,35,1)</f>
        <v>0.53865528930646955</v>
      </c>
    </row>
    <row r="453" spans="1:14" x14ac:dyDescent="0.25">
      <c r="A453" s="102">
        <v>40802</v>
      </c>
      <c r="B453">
        <v>64.073999999999998</v>
      </c>
      <c r="C453">
        <v>99.266999999999996</v>
      </c>
      <c r="D453">
        <v>125.008</v>
      </c>
      <c r="E453">
        <v>160.333</v>
      </c>
      <c r="F453">
        <v>0.09</v>
      </c>
      <c r="G453">
        <v>6.5000000000000002E-2</v>
      </c>
      <c r="H453">
        <v>9.1999999999999998E-2</v>
      </c>
      <c r="I453">
        <v>0.25</v>
      </c>
      <c r="J453">
        <v>0.83499999999999996</v>
      </c>
      <c r="K453">
        <v>0.10198515371715966</v>
      </c>
      <c r="L453" s="112">
        <f>VLOOKUP(A453,[3]RESUMEN!$A:$AE,31,1)</f>
        <v>0.47737547631939359</v>
      </c>
      <c r="M453" s="113">
        <f>VLOOKUP(A453,[3]RESUMEN!$A:$AH,34,1)</f>
        <v>0.59993510229354552</v>
      </c>
      <c r="N453" s="113">
        <f>VLOOKUP(A453,[3]RESUMEN!$A:$AI,35,1)</f>
        <v>0.53865528930646955</v>
      </c>
    </row>
    <row r="454" spans="1:14" x14ac:dyDescent="0.25">
      <c r="A454" s="102">
        <v>40809</v>
      </c>
      <c r="B454">
        <v>90.266000000000005</v>
      </c>
      <c r="C454">
        <v>141.30099999999999</v>
      </c>
      <c r="D454">
        <v>171.23500000000001</v>
      </c>
      <c r="E454">
        <v>212.43600000000001</v>
      </c>
      <c r="F454">
        <v>0.08</v>
      </c>
      <c r="G454">
        <v>9.2499999999999999E-2</v>
      </c>
      <c r="H454">
        <v>0.1195</v>
      </c>
      <c r="I454">
        <v>0.26100000000000001</v>
      </c>
      <c r="J454">
        <v>0.77800000000000002</v>
      </c>
      <c r="K454">
        <v>0.13287922569863408</v>
      </c>
      <c r="L454" s="112">
        <f>VLOOKUP(A454,[3]RESUMEN!$A:$AE,31,1)</f>
        <v>0.47737547631939359</v>
      </c>
      <c r="M454" s="113">
        <f>VLOOKUP(A454,[3]RESUMEN!$A:$AH,34,1)</f>
        <v>0.59993510229354552</v>
      </c>
      <c r="N454" s="113">
        <f>VLOOKUP(A454,[3]RESUMEN!$A:$AI,35,1)</f>
        <v>0.53865528930646955</v>
      </c>
    </row>
    <row r="455" spans="1:14" x14ac:dyDescent="0.25">
      <c r="A455" s="102">
        <v>40816</v>
      </c>
      <c r="B455">
        <v>84.370999999999995</v>
      </c>
      <c r="C455">
        <v>130.06299999999999</v>
      </c>
      <c r="D455">
        <v>159.84200000000001</v>
      </c>
      <c r="E455">
        <v>201.49299999999999</v>
      </c>
      <c r="F455">
        <v>0.06</v>
      </c>
      <c r="G455">
        <v>0.112</v>
      </c>
      <c r="H455">
        <v>0.14549999999999999</v>
      </c>
      <c r="I455">
        <v>0.313</v>
      </c>
      <c r="J455">
        <v>0.84099999999999997</v>
      </c>
      <c r="K455">
        <v>0.12650977301344957</v>
      </c>
      <c r="L455" s="112">
        <f>VLOOKUP(A455,[3]RESUMEN!$A:$AE,31,1)</f>
        <v>0.53868692630848736</v>
      </c>
      <c r="M455" s="113">
        <f>VLOOKUP(A455,[3]RESUMEN!$A:$AH,34,1)</f>
        <v>-0.48873768287407293</v>
      </c>
      <c r="N455" s="113">
        <f>VLOOKUP(A455,[3]RESUMEN!$A:$AI,35,1)</f>
        <v>2.4974621717207213E-2</v>
      </c>
    </row>
    <row r="456" spans="1:14" x14ac:dyDescent="0.25">
      <c r="A456" s="102">
        <v>40823</v>
      </c>
      <c r="B456">
        <v>74.984999999999999</v>
      </c>
      <c r="C456">
        <v>119.053</v>
      </c>
      <c r="D456">
        <v>147.36500000000001</v>
      </c>
      <c r="E456">
        <v>187.55199999999999</v>
      </c>
      <c r="F456">
        <v>7.0000000000000007E-2</v>
      </c>
      <c r="G456">
        <v>0.122</v>
      </c>
      <c r="H456">
        <v>0.17249999999999999</v>
      </c>
      <c r="I456">
        <v>0.36599999999999999</v>
      </c>
      <c r="J456">
        <v>0.97499999999999998</v>
      </c>
      <c r="K456">
        <v>0.11828450974107252</v>
      </c>
      <c r="L456" s="112">
        <f>VLOOKUP(A456,[3]RESUMEN!$A:$AE,31,1)</f>
        <v>0.53868692630848736</v>
      </c>
      <c r="M456" s="113">
        <f>VLOOKUP(A456,[3]RESUMEN!$A:$AH,34,1)</f>
        <v>-0.48873768287407293</v>
      </c>
      <c r="N456" s="113">
        <f>VLOOKUP(A456,[3]RESUMEN!$A:$AI,35,1)</f>
        <v>2.4974621717207213E-2</v>
      </c>
    </row>
    <row r="457" spans="1:14" x14ac:dyDescent="0.25">
      <c r="A457" s="102">
        <v>40830</v>
      </c>
      <c r="B457">
        <v>60.073</v>
      </c>
      <c r="C457">
        <v>94.835999999999999</v>
      </c>
      <c r="D457">
        <v>117.75700000000001</v>
      </c>
      <c r="E457">
        <v>156.28899999999999</v>
      </c>
      <c r="F457">
        <v>7.0000000000000007E-2</v>
      </c>
      <c r="G457">
        <v>0.11</v>
      </c>
      <c r="H457">
        <v>0.16400000000000001</v>
      </c>
      <c r="I457">
        <v>0.372</v>
      </c>
      <c r="J457">
        <v>1.006</v>
      </c>
      <c r="K457">
        <v>9.9566273855542176E-2</v>
      </c>
      <c r="L457" s="112">
        <f>VLOOKUP(A457,[3]RESUMEN!$A:$AE,31,1)</f>
        <v>0.53868692630848736</v>
      </c>
      <c r="M457" s="113">
        <f>VLOOKUP(A457,[3]RESUMEN!$A:$AH,34,1)</f>
        <v>-0.48873768287407293</v>
      </c>
      <c r="N457" s="113">
        <f>VLOOKUP(A457,[3]RESUMEN!$A:$AI,35,1)</f>
        <v>2.4974621717207213E-2</v>
      </c>
    </row>
    <row r="458" spans="1:14" x14ac:dyDescent="0.25">
      <c r="A458" s="102">
        <v>40837</v>
      </c>
      <c r="B458">
        <v>65.497</v>
      </c>
      <c r="C458">
        <v>101.908</v>
      </c>
      <c r="D458">
        <v>125.571</v>
      </c>
      <c r="E458">
        <v>161.79300000000001</v>
      </c>
      <c r="F458">
        <v>7.0000000000000007E-2</v>
      </c>
      <c r="G458">
        <v>0.113</v>
      </c>
      <c r="H458">
        <v>0.16300000000000001</v>
      </c>
      <c r="I458">
        <v>0.34799999999999998</v>
      </c>
      <c r="J458">
        <v>0.97199999999999998</v>
      </c>
      <c r="K458">
        <v>0.102865010167559</v>
      </c>
      <c r="L458" s="112">
        <f>VLOOKUP(A458,[3]RESUMEN!$A:$AE,31,1)</f>
        <v>0.53868692630848736</v>
      </c>
      <c r="M458" s="113">
        <f>VLOOKUP(A458,[3]RESUMEN!$A:$AH,34,1)</f>
        <v>-0.48873768287407293</v>
      </c>
      <c r="N458" s="113">
        <f>VLOOKUP(A458,[3]RESUMEN!$A:$AI,35,1)</f>
        <v>2.4974621717207213E-2</v>
      </c>
    </row>
    <row r="459" spans="1:14" x14ac:dyDescent="0.25">
      <c r="A459" s="102">
        <v>40844</v>
      </c>
      <c r="B459">
        <v>51.076000000000001</v>
      </c>
      <c r="C459">
        <v>80.805000000000007</v>
      </c>
      <c r="D459">
        <v>97.57</v>
      </c>
      <c r="E459">
        <v>137.71100000000001</v>
      </c>
      <c r="F459">
        <v>7.0000000000000007E-2</v>
      </c>
      <c r="G459">
        <v>0.11700000000000001</v>
      </c>
      <c r="H459">
        <v>0.17299999999999999</v>
      </c>
      <c r="I459">
        <v>0.35399999999999998</v>
      </c>
      <c r="J459">
        <v>0.999</v>
      </c>
      <c r="K459">
        <v>8.82992037830298E-2</v>
      </c>
      <c r="L459" s="112">
        <f>VLOOKUP(A459,[3]RESUMEN!$A:$AE,31,1)</f>
        <v>0.53868692630848736</v>
      </c>
      <c r="M459" s="113">
        <f>VLOOKUP(A459,[3]RESUMEN!$A:$AH,34,1)</f>
        <v>-0.48873768287407293</v>
      </c>
      <c r="N459" s="113">
        <f>VLOOKUP(A459,[3]RESUMEN!$A:$AI,35,1)</f>
        <v>2.4974621717207213E-2</v>
      </c>
    </row>
    <row r="460" spans="1:14" x14ac:dyDescent="0.25">
      <c r="A460" s="102">
        <v>40851</v>
      </c>
      <c r="B460">
        <v>54.317999999999998</v>
      </c>
      <c r="C460">
        <v>87.394000000000005</v>
      </c>
      <c r="D460">
        <v>108.508</v>
      </c>
      <c r="E460">
        <v>142.59100000000001</v>
      </c>
      <c r="F460">
        <v>0.08</v>
      </c>
      <c r="G460">
        <v>0.106</v>
      </c>
      <c r="H460">
        <v>0.128</v>
      </c>
      <c r="I460">
        <v>0.252</v>
      </c>
      <c r="J460">
        <v>0.78400000000000003</v>
      </c>
      <c r="K460">
        <v>9.1224236943682313E-2</v>
      </c>
      <c r="L460" s="112">
        <f>VLOOKUP(A460,[3]RESUMEN!$A:$AE,31,1)</f>
        <v>0.53868692630848736</v>
      </c>
      <c r="M460" s="113">
        <f>VLOOKUP(A460,[3]RESUMEN!$A:$AH,34,1)</f>
        <v>-0.48873768287407293</v>
      </c>
      <c r="N460" s="113">
        <f>VLOOKUP(A460,[3]RESUMEN!$A:$AI,35,1)</f>
        <v>2.4974621717207213E-2</v>
      </c>
    </row>
    <row r="461" spans="1:14" x14ac:dyDescent="0.25">
      <c r="A461" s="102">
        <v>40858</v>
      </c>
      <c r="B461">
        <v>61.935000000000002</v>
      </c>
      <c r="C461">
        <v>99.906000000000006</v>
      </c>
      <c r="D461">
        <v>122.095</v>
      </c>
      <c r="E461">
        <v>160.35300000000001</v>
      </c>
      <c r="F461">
        <v>0.08</v>
      </c>
      <c r="G461">
        <v>0.1</v>
      </c>
      <c r="H461">
        <v>0.154</v>
      </c>
      <c r="I461">
        <v>0.27500000000000002</v>
      </c>
      <c r="J461">
        <v>0.82499999999999996</v>
      </c>
      <c r="K461">
        <v>0.10202576837111543</v>
      </c>
      <c r="L461" s="112">
        <f>VLOOKUP(A461,[3]RESUMEN!$A:$AE,31,1)</f>
        <v>0.53868692630848736</v>
      </c>
      <c r="M461" s="113">
        <f>VLOOKUP(A461,[3]RESUMEN!$A:$AH,34,1)</f>
        <v>-0.48873768287407293</v>
      </c>
      <c r="N461" s="113">
        <f>VLOOKUP(A461,[3]RESUMEN!$A:$AI,35,1)</f>
        <v>2.4974621717207213E-2</v>
      </c>
    </row>
    <row r="462" spans="1:14" x14ac:dyDescent="0.25">
      <c r="A462" s="102">
        <v>40865</v>
      </c>
      <c r="B462">
        <v>71.956999999999994</v>
      </c>
      <c r="C462">
        <v>113.953</v>
      </c>
      <c r="D462">
        <v>139.71199999999999</v>
      </c>
      <c r="E462">
        <v>175.06299999999999</v>
      </c>
      <c r="F462">
        <v>0.08</v>
      </c>
      <c r="G462">
        <v>0.11899999999999999</v>
      </c>
      <c r="H462">
        <v>0.152</v>
      </c>
      <c r="I462">
        <v>0.28399999999999997</v>
      </c>
      <c r="J462">
        <v>0.80400000000000005</v>
      </c>
      <c r="K462">
        <v>0.11078334081341812</v>
      </c>
      <c r="L462" s="112">
        <f>VLOOKUP(A462,[3]RESUMEN!$A:$AE,31,1)</f>
        <v>0.53868692630848736</v>
      </c>
      <c r="M462" s="113">
        <f>VLOOKUP(A462,[3]RESUMEN!$A:$AH,34,1)</f>
        <v>-0.48873768287407293</v>
      </c>
      <c r="N462" s="113">
        <f>VLOOKUP(A462,[3]RESUMEN!$A:$AI,35,1)</f>
        <v>2.4974621717207213E-2</v>
      </c>
    </row>
    <row r="463" spans="1:14" x14ac:dyDescent="0.25">
      <c r="A463" s="102">
        <v>40872</v>
      </c>
      <c r="B463">
        <v>78.216999999999999</v>
      </c>
      <c r="C463">
        <v>127.55500000000001</v>
      </c>
      <c r="D463">
        <v>152.173</v>
      </c>
      <c r="E463">
        <v>193.583</v>
      </c>
      <c r="F463">
        <v>7.0000000000000007E-2</v>
      </c>
      <c r="G463">
        <v>0.13450000000000001</v>
      </c>
      <c r="H463">
        <v>0.16750000000000001</v>
      </c>
      <c r="I463">
        <v>0.30099999999999999</v>
      </c>
      <c r="J463">
        <v>0.83899999999999997</v>
      </c>
      <c r="K463">
        <v>0.12182439650365973</v>
      </c>
      <c r="L463" s="112">
        <f>VLOOKUP(A463,[3]RESUMEN!$A:$AE,31,1)</f>
        <v>0.53868692630848736</v>
      </c>
      <c r="M463" s="113">
        <f>VLOOKUP(A463,[3]RESUMEN!$A:$AH,34,1)</f>
        <v>-0.48873768287407293</v>
      </c>
      <c r="N463" s="113">
        <f>VLOOKUP(A463,[3]RESUMEN!$A:$AI,35,1)</f>
        <v>2.4974621717207213E-2</v>
      </c>
    </row>
    <row r="464" spans="1:14" x14ac:dyDescent="0.25">
      <c r="A464" s="102">
        <v>40879</v>
      </c>
      <c r="B464">
        <v>60.152999999999999</v>
      </c>
      <c r="C464">
        <v>101.637</v>
      </c>
      <c r="D464">
        <v>121.703</v>
      </c>
      <c r="E464">
        <v>155.261</v>
      </c>
      <c r="F464">
        <v>0.08</v>
      </c>
      <c r="G464">
        <v>0.11700000000000001</v>
      </c>
      <c r="H464">
        <v>0.152</v>
      </c>
      <c r="I464">
        <v>0.30399999999999999</v>
      </c>
      <c r="J464">
        <v>0.84299999999999997</v>
      </c>
      <c r="K464">
        <v>9.8837096066206054E-2</v>
      </c>
      <c r="L464" s="112">
        <f>VLOOKUP(A464,[3]RESUMEN!$A:$AE,31,1)</f>
        <v>0.53868692630848736</v>
      </c>
      <c r="M464" s="113">
        <f>VLOOKUP(A464,[3]RESUMEN!$A:$AH,34,1)</f>
        <v>-0.48873768287407293</v>
      </c>
      <c r="N464" s="113">
        <f>VLOOKUP(A464,[3]RESUMEN!$A:$AI,35,1)</f>
        <v>2.4974621717207213E-2</v>
      </c>
    </row>
    <row r="465" spans="1:14" x14ac:dyDescent="0.25">
      <c r="A465" s="102">
        <v>40886</v>
      </c>
      <c r="B465">
        <v>55.146999999999998</v>
      </c>
      <c r="C465">
        <v>93.789000000000001</v>
      </c>
      <c r="D465">
        <v>113.232</v>
      </c>
      <c r="E465">
        <v>146.333</v>
      </c>
      <c r="F465">
        <v>7.0000000000000007E-2</v>
      </c>
      <c r="G465">
        <v>0.121</v>
      </c>
      <c r="H465">
        <v>0.14000000000000001</v>
      </c>
      <c r="I465">
        <v>0.254</v>
      </c>
      <c r="J465">
        <v>0.80300000000000005</v>
      </c>
      <c r="K465">
        <v>9.3471497323277974E-2</v>
      </c>
      <c r="L465" s="112">
        <f>VLOOKUP(A465,[3]RESUMEN!$A:$AE,31,1)</f>
        <v>0.53868692630848736</v>
      </c>
      <c r="M465" s="113">
        <f>VLOOKUP(A465,[3]RESUMEN!$A:$AH,34,1)</f>
        <v>-0.48873768287407293</v>
      </c>
      <c r="N465" s="113">
        <f>VLOOKUP(A465,[3]RESUMEN!$A:$AI,35,1)</f>
        <v>2.4974621717207213E-2</v>
      </c>
    </row>
    <row r="466" spans="1:14" x14ac:dyDescent="0.25">
      <c r="A466" s="102">
        <v>40893</v>
      </c>
      <c r="B466">
        <v>63.115000000000002</v>
      </c>
      <c r="C466">
        <v>102.294</v>
      </c>
      <c r="D466">
        <v>122.09699999999999</v>
      </c>
      <c r="E466">
        <v>157.36000000000001</v>
      </c>
      <c r="F466">
        <v>7.0000000000000007E-2</v>
      </c>
      <c r="G466">
        <v>0.11700000000000001</v>
      </c>
      <c r="H466">
        <v>0.14699999999999999</v>
      </c>
      <c r="I466">
        <v>0.251</v>
      </c>
      <c r="J466">
        <v>0.76600000000000001</v>
      </c>
      <c r="K466">
        <v>0.10015958338466813</v>
      </c>
      <c r="L466" s="112">
        <f>VLOOKUP(A466,[3]RESUMEN!$A:$AE,31,1)</f>
        <v>0.53868692630848736</v>
      </c>
      <c r="M466" s="113">
        <f>VLOOKUP(A466,[3]RESUMEN!$A:$AH,34,1)</f>
        <v>-0.48873768287407293</v>
      </c>
      <c r="N466" s="113">
        <f>VLOOKUP(A466,[3]RESUMEN!$A:$AI,35,1)</f>
        <v>2.4974621717207213E-2</v>
      </c>
    </row>
    <row r="467" spans="1:14" x14ac:dyDescent="0.25">
      <c r="A467" s="102">
        <v>40900</v>
      </c>
      <c r="B467">
        <v>61.642000000000003</v>
      </c>
      <c r="C467">
        <v>100.348</v>
      </c>
      <c r="D467">
        <v>121.142</v>
      </c>
      <c r="E467">
        <v>152.92400000000001</v>
      </c>
      <c r="F467">
        <v>0.08</v>
      </c>
      <c r="G467">
        <v>0.13</v>
      </c>
      <c r="H467">
        <v>0.1895</v>
      </c>
      <c r="I467">
        <v>0.32700000000000001</v>
      </c>
      <c r="J467">
        <v>0.79100000000000004</v>
      </c>
      <c r="K467">
        <v>9.7432239184745306E-2</v>
      </c>
      <c r="L467" s="112">
        <f>VLOOKUP(A467,[3]RESUMEN!$A:$AE,31,1)</f>
        <v>0.53868692630848736</v>
      </c>
      <c r="M467" s="113">
        <f>VLOOKUP(A467,[3]RESUMEN!$A:$AH,34,1)</f>
        <v>-0.48873768287407293</v>
      </c>
      <c r="N467" s="113">
        <f>VLOOKUP(A467,[3]RESUMEN!$A:$AI,35,1)</f>
        <v>2.4974621717207213E-2</v>
      </c>
    </row>
    <row r="468" spans="1:14" x14ac:dyDescent="0.25">
      <c r="A468" s="102">
        <v>40907</v>
      </c>
      <c r="B468">
        <v>59.997999999999998</v>
      </c>
      <c r="C468">
        <v>98.882999999999996</v>
      </c>
      <c r="D468">
        <v>119.85</v>
      </c>
      <c r="E468">
        <v>156.089</v>
      </c>
      <c r="F468">
        <v>0.04</v>
      </c>
      <c r="G468">
        <v>0.112</v>
      </c>
      <c r="H468">
        <v>0.155</v>
      </c>
      <c r="I468">
        <v>0.309</v>
      </c>
      <c r="J468">
        <v>0.753</v>
      </c>
      <c r="K468">
        <v>9.9416862152311936E-2</v>
      </c>
      <c r="L468" s="112">
        <f>VLOOKUP(A468,[3]RESUMEN!$A:$AE,31,1)</f>
        <v>0.53868692630848736</v>
      </c>
      <c r="M468" s="113">
        <f>VLOOKUP(A468,[3]RESUMEN!$A:$AH,34,1)</f>
        <v>-0.48873768287407293</v>
      </c>
      <c r="N468" s="113">
        <f>VLOOKUP(A468,[3]RESUMEN!$A:$AI,35,1)</f>
        <v>2.4974621717207213E-2</v>
      </c>
    </row>
    <row r="469" spans="1:14" x14ac:dyDescent="0.25">
      <c r="A469" s="102">
        <v>40914</v>
      </c>
      <c r="B469">
        <v>59.406999999999996</v>
      </c>
      <c r="C469">
        <v>97.885999999999996</v>
      </c>
      <c r="D469">
        <v>119.134</v>
      </c>
      <c r="E469">
        <v>153.667</v>
      </c>
      <c r="F469">
        <v>7.0000000000000007E-2</v>
      </c>
      <c r="G469">
        <v>0.105</v>
      </c>
      <c r="H469">
        <v>0.154</v>
      </c>
      <c r="I469">
        <v>0.25700000000000001</v>
      </c>
      <c r="J469">
        <v>0.73899999999999999</v>
      </c>
      <c r="K469">
        <v>9.847334247488404E-2</v>
      </c>
      <c r="L469" s="112">
        <f>VLOOKUP(A469,[3]RESUMEN!$A:$AE,31,1)</f>
        <v>0.43429901886250422</v>
      </c>
      <c r="M469" s="113">
        <f>VLOOKUP(A469,[3]RESUMEN!$A:$AH,34,1)</f>
        <v>-0.10271922906818234</v>
      </c>
      <c r="N469" s="113">
        <f>VLOOKUP(A469,[3]RESUMEN!$A:$AI,35,1)</f>
        <v>0.16578989489716095</v>
      </c>
    </row>
    <row r="470" spans="1:14" x14ac:dyDescent="0.25">
      <c r="A470" s="102">
        <v>40921</v>
      </c>
      <c r="B470">
        <v>62.283000000000001</v>
      </c>
      <c r="C470">
        <v>99.661000000000001</v>
      </c>
      <c r="D470">
        <v>121.172</v>
      </c>
      <c r="E470">
        <v>155.023</v>
      </c>
      <c r="F470">
        <v>0.09</v>
      </c>
      <c r="G470">
        <v>9.6500000000000002E-2</v>
      </c>
      <c r="H470">
        <v>0.12</v>
      </c>
      <c r="I470">
        <v>0.23300000000000001</v>
      </c>
      <c r="J470">
        <v>0.69599999999999995</v>
      </c>
      <c r="K470">
        <v>9.847334247488404E-2</v>
      </c>
      <c r="L470" s="112">
        <f>VLOOKUP(A470,[3]RESUMEN!$A:$AE,31,1)</f>
        <v>0.43429901886250422</v>
      </c>
      <c r="M470" s="113">
        <f>VLOOKUP(A470,[3]RESUMEN!$A:$AH,34,1)</f>
        <v>-0.10271922906818234</v>
      </c>
      <c r="N470" s="113">
        <f>VLOOKUP(A470,[3]RESUMEN!$A:$AI,35,1)</f>
        <v>0.16578989489716095</v>
      </c>
    </row>
    <row r="471" spans="1:14" x14ac:dyDescent="0.25">
      <c r="A471" s="102">
        <v>40928</v>
      </c>
      <c r="B471">
        <v>52.561999999999998</v>
      </c>
      <c r="C471">
        <v>89.721000000000004</v>
      </c>
      <c r="D471">
        <v>110.857</v>
      </c>
      <c r="E471">
        <v>144.84800000000001</v>
      </c>
      <c r="F471">
        <v>0.09</v>
      </c>
      <c r="G471">
        <v>0.1055</v>
      </c>
      <c r="H471">
        <v>0.14699999999999999</v>
      </c>
      <c r="I471">
        <v>0.27300000000000002</v>
      </c>
      <c r="J471">
        <v>0.79400000000000004</v>
      </c>
      <c r="K471">
        <v>9.2592710367446318E-2</v>
      </c>
      <c r="L471" s="112">
        <f>VLOOKUP(A471,[3]RESUMEN!$A:$AE,31,1)</f>
        <v>0.43429901886250422</v>
      </c>
      <c r="M471" s="113">
        <f>VLOOKUP(A471,[3]RESUMEN!$A:$AH,34,1)</f>
        <v>-0.10271922906818234</v>
      </c>
      <c r="N471" s="113">
        <f>VLOOKUP(A471,[3]RESUMEN!$A:$AI,35,1)</f>
        <v>0.16578989489716095</v>
      </c>
    </row>
    <row r="472" spans="1:14" x14ac:dyDescent="0.25">
      <c r="A472" s="102">
        <v>40935</v>
      </c>
      <c r="B472">
        <v>47.965000000000003</v>
      </c>
      <c r="C472">
        <v>85.236999999999995</v>
      </c>
      <c r="D472">
        <v>105.88800000000001</v>
      </c>
      <c r="E472">
        <v>138.16999999999999</v>
      </c>
      <c r="F472">
        <v>0.09</v>
      </c>
      <c r="G472">
        <v>0.1045</v>
      </c>
      <c r="H472">
        <v>0.129</v>
      </c>
      <c r="I472">
        <v>0.22</v>
      </c>
      <c r="J472">
        <v>0.6865</v>
      </c>
      <c r="K472">
        <v>8.8509035566995187E-2</v>
      </c>
      <c r="L472" s="112">
        <f>VLOOKUP(A472,[3]RESUMEN!$A:$AE,31,1)</f>
        <v>0.43429901886250422</v>
      </c>
      <c r="M472" s="113">
        <f>VLOOKUP(A472,[3]RESUMEN!$A:$AH,34,1)</f>
        <v>-0.10271922906818234</v>
      </c>
      <c r="N472" s="113">
        <f>VLOOKUP(A472,[3]RESUMEN!$A:$AI,35,1)</f>
        <v>0.16578989489716095</v>
      </c>
    </row>
    <row r="473" spans="1:14" x14ac:dyDescent="0.25">
      <c r="A473" s="102">
        <v>40942</v>
      </c>
      <c r="B473">
        <v>47.216000000000001</v>
      </c>
      <c r="C473">
        <v>78.408000000000001</v>
      </c>
      <c r="D473">
        <v>97.756</v>
      </c>
      <c r="E473">
        <v>131.04</v>
      </c>
      <c r="F473">
        <v>0.11</v>
      </c>
      <c r="G473">
        <v>0.122</v>
      </c>
      <c r="H473">
        <v>0.157</v>
      </c>
      <c r="I473">
        <v>0.26400000000000001</v>
      </c>
      <c r="J473">
        <v>0.69399999999999995</v>
      </c>
      <c r="K473">
        <v>8.4150167530363196E-2</v>
      </c>
      <c r="L473" s="112">
        <f>VLOOKUP(A473,[3]RESUMEN!$A:$AE,31,1)</f>
        <v>0.43429901886250422</v>
      </c>
      <c r="M473" s="113">
        <f>VLOOKUP(A473,[3]RESUMEN!$A:$AH,34,1)</f>
        <v>-0.10271922906818234</v>
      </c>
      <c r="N473" s="113">
        <f>VLOOKUP(A473,[3]RESUMEN!$A:$AI,35,1)</f>
        <v>0.16578989489716095</v>
      </c>
    </row>
    <row r="474" spans="1:14" x14ac:dyDescent="0.25">
      <c r="A474" s="102">
        <v>40949</v>
      </c>
      <c r="B474">
        <v>48.509</v>
      </c>
      <c r="C474">
        <v>77.975999999999999</v>
      </c>
      <c r="D474">
        <v>98.78</v>
      </c>
      <c r="E474">
        <v>131.26400000000001</v>
      </c>
      <c r="F474">
        <v>0.12</v>
      </c>
      <c r="G474">
        <v>0.14099999999999999</v>
      </c>
      <c r="H474">
        <v>0.191</v>
      </c>
      <c r="I474">
        <v>0.30299999999999999</v>
      </c>
      <c r="J474">
        <v>0.79900000000000004</v>
      </c>
      <c r="K474">
        <v>8.4150167530363196E-2</v>
      </c>
      <c r="L474" s="112">
        <f>VLOOKUP(A474,[3]RESUMEN!$A:$AE,31,1)</f>
        <v>0.43429901886250422</v>
      </c>
      <c r="M474" s="113">
        <f>VLOOKUP(A474,[3]RESUMEN!$A:$AH,34,1)</f>
        <v>-0.10271922906818234</v>
      </c>
      <c r="N474" s="113">
        <f>VLOOKUP(A474,[3]RESUMEN!$A:$AI,35,1)</f>
        <v>0.16578989489716095</v>
      </c>
    </row>
    <row r="475" spans="1:14" x14ac:dyDescent="0.25">
      <c r="A475" s="102">
        <v>40956</v>
      </c>
      <c r="B475">
        <v>46.22</v>
      </c>
      <c r="C475">
        <v>74.501000000000005</v>
      </c>
      <c r="D475">
        <v>94.924999999999997</v>
      </c>
      <c r="E475">
        <v>128.37899999999999</v>
      </c>
      <c r="F475">
        <v>0.09</v>
      </c>
      <c r="G475">
        <v>0.13500000000000001</v>
      </c>
      <c r="H475">
        <v>0.184</v>
      </c>
      <c r="I475">
        <v>0.316</v>
      </c>
      <c r="J475">
        <v>0.751</v>
      </c>
      <c r="K475">
        <v>8.2528091610569954E-2</v>
      </c>
      <c r="L475" s="112">
        <f>VLOOKUP(A475,[3]RESUMEN!$A:$AE,31,1)</f>
        <v>0.43429901886250422</v>
      </c>
      <c r="M475" s="113">
        <f>VLOOKUP(A475,[3]RESUMEN!$A:$AH,34,1)</f>
        <v>-0.10271922906818234</v>
      </c>
      <c r="N475" s="113">
        <f>VLOOKUP(A475,[3]RESUMEN!$A:$AI,35,1)</f>
        <v>0.16578989489716095</v>
      </c>
    </row>
    <row r="476" spans="1:14" x14ac:dyDescent="0.25">
      <c r="A476" s="102">
        <v>40963</v>
      </c>
      <c r="B476">
        <v>44.585999999999999</v>
      </c>
      <c r="C476">
        <v>72.808000000000007</v>
      </c>
      <c r="D476">
        <v>93.102000000000004</v>
      </c>
      <c r="E476">
        <v>126.5</v>
      </c>
      <c r="F476">
        <v>0.09</v>
      </c>
      <c r="G476">
        <v>0.14299999999999999</v>
      </c>
      <c r="H476">
        <v>0.2</v>
      </c>
      <c r="I476">
        <v>0.32600000000000001</v>
      </c>
      <c r="J476">
        <v>0.77</v>
      </c>
      <c r="K476">
        <v>8.173750219101672E-2</v>
      </c>
      <c r="L476" s="112">
        <f>VLOOKUP(A476,[3]RESUMEN!$A:$AE,31,1)</f>
        <v>0.43429901886250422</v>
      </c>
      <c r="M476" s="113">
        <f>VLOOKUP(A476,[3]RESUMEN!$A:$AH,34,1)</f>
        <v>-0.10271922906818234</v>
      </c>
      <c r="N476" s="113">
        <f>VLOOKUP(A476,[3]RESUMEN!$A:$AI,35,1)</f>
        <v>0.16578989489716095</v>
      </c>
    </row>
    <row r="477" spans="1:14" x14ac:dyDescent="0.25">
      <c r="A477" s="102">
        <v>40970</v>
      </c>
      <c r="B477">
        <v>41.188000000000002</v>
      </c>
      <c r="C477">
        <v>70.805000000000007</v>
      </c>
      <c r="D477">
        <v>89.210999999999999</v>
      </c>
      <c r="E477">
        <v>121.33499999999999</v>
      </c>
      <c r="F477">
        <v>0.11</v>
      </c>
      <c r="G477">
        <v>0.13500000000000001</v>
      </c>
      <c r="H477">
        <v>0.191</v>
      </c>
      <c r="I477">
        <v>0.309</v>
      </c>
      <c r="J477">
        <v>0.749</v>
      </c>
      <c r="K477">
        <v>7.8168375744685714E-2</v>
      </c>
      <c r="L477" s="112">
        <f>VLOOKUP(A477,[3]RESUMEN!$A:$AE,31,1)</f>
        <v>0.43429901886250422</v>
      </c>
      <c r="M477" s="113">
        <f>VLOOKUP(A477,[3]RESUMEN!$A:$AH,34,1)</f>
        <v>-0.10271922906818234</v>
      </c>
      <c r="N477" s="113">
        <f>VLOOKUP(A477,[3]RESUMEN!$A:$AI,35,1)</f>
        <v>0.16578989489716095</v>
      </c>
    </row>
    <row r="478" spans="1:14" x14ac:dyDescent="0.25">
      <c r="A478" s="102">
        <v>40977</v>
      </c>
      <c r="B478">
        <v>39.279000000000003</v>
      </c>
      <c r="C478">
        <v>67.307000000000002</v>
      </c>
      <c r="D478">
        <v>86.561000000000007</v>
      </c>
      <c r="E478">
        <v>116.592</v>
      </c>
      <c r="F478">
        <v>0.12</v>
      </c>
      <c r="G478">
        <v>0.151</v>
      </c>
      <c r="H478">
        <v>0.224</v>
      </c>
      <c r="I478">
        <v>0.35199999999999998</v>
      </c>
      <c r="J478">
        <v>0.81</v>
      </c>
      <c r="K478">
        <v>7.5217176159310006E-2</v>
      </c>
      <c r="L478" s="112">
        <f>VLOOKUP(A478,[3]RESUMEN!$A:$AE,31,1)</f>
        <v>0.43429901886250422</v>
      </c>
      <c r="M478" s="113">
        <f>VLOOKUP(A478,[3]RESUMEN!$A:$AH,34,1)</f>
        <v>-0.10271922906818234</v>
      </c>
      <c r="N478" s="113">
        <f>VLOOKUP(A478,[3]RESUMEN!$A:$AI,35,1)</f>
        <v>0.16578989489716095</v>
      </c>
    </row>
    <row r="479" spans="1:14" x14ac:dyDescent="0.25">
      <c r="A479" s="102">
        <v>40984</v>
      </c>
      <c r="B479">
        <v>32.395000000000003</v>
      </c>
      <c r="C479">
        <v>54.753</v>
      </c>
      <c r="D479">
        <v>76.200999999999993</v>
      </c>
      <c r="E479">
        <v>107.747</v>
      </c>
      <c r="F479">
        <v>0.15</v>
      </c>
      <c r="G479">
        <v>0.16600000000000001</v>
      </c>
      <c r="H479">
        <v>0.27300000000000002</v>
      </c>
      <c r="I479">
        <v>0.47299999999999998</v>
      </c>
      <c r="J479">
        <v>1.0329999999999999</v>
      </c>
      <c r="K479">
        <v>6.9746854634683886E-2</v>
      </c>
      <c r="L479" s="112">
        <f>VLOOKUP(A479,[3]RESUMEN!$A:$AE,31,1)</f>
        <v>0.43429901886250422</v>
      </c>
      <c r="M479" s="113">
        <f>VLOOKUP(A479,[3]RESUMEN!$A:$AH,34,1)</f>
        <v>-0.10271922906818234</v>
      </c>
      <c r="N479" s="113">
        <f>VLOOKUP(A479,[3]RESUMEN!$A:$AI,35,1)</f>
        <v>0.16578989489716095</v>
      </c>
    </row>
    <row r="480" spans="1:14" x14ac:dyDescent="0.25">
      <c r="A480" s="102">
        <v>40991</v>
      </c>
      <c r="B480">
        <v>34.42</v>
      </c>
      <c r="C480">
        <v>58.235999999999997</v>
      </c>
      <c r="D480">
        <v>77.399000000000001</v>
      </c>
      <c r="E480">
        <v>108.83499999999999</v>
      </c>
      <c r="F480">
        <v>0.14000000000000001</v>
      </c>
      <c r="G480">
        <v>0.16600000000000001</v>
      </c>
      <c r="H480">
        <v>0.26700000000000002</v>
      </c>
      <c r="I480">
        <v>0.46600000000000003</v>
      </c>
      <c r="J480">
        <v>1.026</v>
      </c>
      <c r="K480">
        <v>7.0419170922557561E-2</v>
      </c>
      <c r="L480" s="112">
        <f>VLOOKUP(A480,[3]RESUMEN!$A:$AE,31,1)</f>
        <v>0.43429901886250422</v>
      </c>
      <c r="M480" s="113">
        <f>VLOOKUP(A480,[3]RESUMEN!$A:$AH,34,1)</f>
        <v>-0.10271922906818234</v>
      </c>
      <c r="N480" s="113">
        <f>VLOOKUP(A480,[3]RESUMEN!$A:$AI,35,1)</f>
        <v>0.16578989489716095</v>
      </c>
    </row>
    <row r="481" spans="1:14" x14ac:dyDescent="0.25">
      <c r="A481" s="102">
        <v>40998</v>
      </c>
      <c r="B481">
        <v>34.874000000000002</v>
      </c>
      <c r="C481">
        <v>58.371000000000002</v>
      </c>
      <c r="D481">
        <v>78.424000000000007</v>
      </c>
      <c r="E481">
        <v>109.994</v>
      </c>
      <c r="F481">
        <v>0.09</v>
      </c>
      <c r="G481">
        <v>0.155</v>
      </c>
      <c r="H481">
        <v>0.23699999999999999</v>
      </c>
      <c r="I481">
        <v>0.39400000000000002</v>
      </c>
      <c r="J481">
        <v>0.92500000000000004</v>
      </c>
      <c r="K481">
        <v>7.1097717162589946E-2</v>
      </c>
      <c r="L481" s="112">
        <f>VLOOKUP(A481,[3]RESUMEN!$A:$AE,31,1)</f>
        <v>0.43429901886250422</v>
      </c>
      <c r="M481" s="113">
        <f>VLOOKUP(A481,[3]RESUMEN!$A:$AH,34,1)</f>
        <v>-0.10271922906818234</v>
      </c>
      <c r="N481" s="113">
        <f>VLOOKUP(A481,[3]RESUMEN!$A:$AI,35,1)</f>
        <v>0.16578989489716095</v>
      </c>
    </row>
    <row r="482" spans="1:14" x14ac:dyDescent="0.25">
      <c r="A482" s="102">
        <v>41005</v>
      </c>
      <c r="B482">
        <v>36.761000000000003</v>
      </c>
      <c r="C482">
        <v>59.968000000000004</v>
      </c>
      <c r="D482">
        <v>79.736999999999995</v>
      </c>
      <c r="E482">
        <v>115.446</v>
      </c>
      <c r="F482">
        <v>0.12</v>
      </c>
      <c r="G482">
        <v>0.17299999999999999</v>
      </c>
      <c r="H482">
        <v>0.23499999999999999</v>
      </c>
      <c r="I482">
        <v>0.41</v>
      </c>
      <c r="J482">
        <v>0.79600000000000004</v>
      </c>
      <c r="K482">
        <v>7.4577104356441493E-2</v>
      </c>
      <c r="L482" s="112">
        <f>VLOOKUP(A482,[3]RESUMEN!$A:$AE,31,1)</f>
        <v>0.38033408254752099</v>
      </c>
      <c r="M482" s="113">
        <f>VLOOKUP(A482,[3]RESUMEN!$A:$AH,34,1)</f>
        <v>0.44285131005141543</v>
      </c>
      <c r="N482" s="113">
        <f>VLOOKUP(A482,[3]RESUMEN!$A:$AI,35,1)</f>
        <v>0.41159269629946821</v>
      </c>
    </row>
    <row r="483" spans="1:14" x14ac:dyDescent="0.25">
      <c r="A483" s="102">
        <v>41012</v>
      </c>
      <c r="B483">
        <v>41.122999999999998</v>
      </c>
      <c r="C483">
        <v>67.555999999999997</v>
      </c>
      <c r="D483">
        <v>84.638000000000005</v>
      </c>
      <c r="E483">
        <v>118.33499999999999</v>
      </c>
      <c r="F483">
        <v>0.15</v>
      </c>
      <c r="G483">
        <v>0.156</v>
      </c>
      <c r="H483">
        <v>0.192</v>
      </c>
      <c r="I483">
        <v>0.314</v>
      </c>
      <c r="J483">
        <v>0.76500000000000001</v>
      </c>
      <c r="K483">
        <v>7.6332648857211804E-2</v>
      </c>
      <c r="L483" s="112">
        <f>VLOOKUP(A483,[3]RESUMEN!$A:$AE,31,1)</f>
        <v>0.38033408254752099</v>
      </c>
      <c r="M483" s="113">
        <f>VLOOKUP(A483,[3]RESUMEN!$A:$AH,34,1)</f>
        <v>0.44285131005141543</v>
      </c>
      <c r="N483" s="113">
        <f>VLOOKUP(A483,[3]RESUMEN!$A:$AI,35,1)</f>
        <v>0.41159269629946821</v>
      </c>
    </row>
    <row r="484" spans="1:14" x14ac:dyDescent="0.25">
      <c r="A484" s="102">
        <v>41019</v>
      </c>
      <c r="B484">
        <v>38.784999999999997</v>
      </c>
      <c r="C484">
        <v>63.999000000000002</v>
      </c>
      <c r="D484">
        <v>81.554000000000002</v>
      </c>
      <c r="E484">
        <v>115.221</v>
      </c>
      <c r="F484">
        <v>0.12</v>
      </c>
      <c r="G484">
        <v>0.15</v>
      </c>
      <c r="H484">
        <v>0.187</v>
      </c>
      <c r="I484">
        <v>0.318</v>
      </c>
      <c r="J484">
        <v>0.75600000000000001</v>
      </c>
      <c r="K484">
        <v>7.4403454469166852E-2</v>
      </c>
      <c r="L484" s="112">
        <f>VLOOKUP(A484,[3]RESUMEN!$A:$AE,31,1)</f>
        <v>0.38033408254752099</v>
      </c>
      <c r="M484" s="113">
        <f>VLOOKUP(A484,[3]RESUMEN!$A:$AH,34,1)</f>
        <v>0.44285131005141543</v>
      </c>
      <c r="N484" s="113">
        <f>VLOOKUP(A484,[3]RESUMEN!$A:$AI,35,1)</f>
        <v>0.41159269629946821</v>
      </c>
    </row>
    <row r="485" spans="1:14" x14ac:dyDescent="0.25">
      <c r="A485" s="102">
        <v>41026</v>
      </c>
      <c r="B485">
        <v>34.201000000000001</v>
      </c>
      <c r="C485">
        <v>59.808999999999997</v>
      </c>
      <c r="D485">
        <v>77.164000000000001</v>
      </c>
      <c r="E485">
        <v>110.18300000000001</v>
      </c>
      <c r="F485">
        <v>0.13</v>
      </c>
      <c r="G485">
        <v>0.14799999999999999</v>
      </c>
      <c r="H485">
        <v>0.183</v>
      </c>
      <c r="I485">
        <v>0.30549999999999999</v>
      </c>
      <c r="J485">
        <v>0.73799999999999999</v>
      </c>
      <c r="K485">
        <v>7.1270203763203033E-2</v>
      </c>
      <c r="L485" s="112">
        <f>VLOOKUP(A485,[3]RESUMEN!$A:$AE,31,1)</f>
        <v>0.38033408254752099</v>
      </c>
      <c r="M485" s="113">
        <f>VLOOKUP(A485,[3]RESUMEN!$A:$AH,34,1)</f>
        <v>0.44285131005141543</v>
      </c>
      <c r="N485" s="113">
        <f>VLOOKUP(A485,[3]RESUMEN!$A:$AI,35,1)</f>
        <v>0.41159269629946821</v>
      </c>
    </row>
    <row r="486" spans="1:14" x14ac:dyDescent="0.25">
      <c r="A486" s="102">
        <v>41033</v>
      </c>
      <c r="B486">
        <v>37.411000000000001</v>
      </c>
      <c r="C486">
        <v>58.097000000000001</v>
      </c>
      <c r="D486">
        <v>76.832999999999998</v>
      </c>
      <c r="E486">
        <v>111.078</v>
      </c>
      <c r="F486">
        <v>0.16</v>
      </c>
      <c r="G486">
        <v>0.153</v>
      </c>
      <c r="H486">
        <v>0.185</v>
      </c>
      <c r="I486">
        <v>0.29299999999999998</v>
      </c>
      <c r="J486">
        <v>0.71199999999999997</v>
      </c>
      <c r="K486">
        <v>7.1270203763203033E-2</v>
      </c>
      <c r="L486" s="112">
        <f>VLOOKUP(A486,[3]RESUMEN!$A:$AE,31,1)</f>
        <v>0.38033408254752099</v>
      </c>
      <c r="M486" s="113">
        <f>VLOOKUP(A486,[3]RESUMEN!$A:$AH,34,1)</f>
        <v>0.44285131005141543</v>
      </c>
      <c r="N486" s="113">
        <f>VLOOKUP(A486,[3]RESUMEN!$A:$AI,35,1)</f>
        <v>0.41159269629946821</v>
      </c>
    </row>
    <row r="487" spans="1:14" x14ac:dyDescent="0.25">
      <c r="A487" s="102">
        <v>41040</v>
      </c>
      <c r="B487">
        <v>42.503</v>
      </c>
      <c r="C487">
        <v>68.096999999999994</v>
      </c>
      <c r="D487">
        <v>87.634</v>
      </c>
      <c r="E487">
        <v>121.18600000000001</v>
      </c>
      <c r="F487">
        <v>0.15</v>
      </c>
      <c r="G487">
        <v>0.16500000000000001</v>
      </c>
      <c r="H487">
        <v>0.192</v>
      </c>
      <c r="I487">
        <v>0.28699999999999998</v>
      </c>
      <c r="J487">
        <v>0.69199999999999995</v>
      </c>
      <c r="K487">
        <v>7.8091455237628393E-2</v>
      </c>
      <c r="L487" s="112">
        <f>VLOOKUP(A487,[3]RESUMEN!$A:$AE,31,1)</f>
        <v>0.38033408254752099</v>
      </c>
      <c r="M487" s="113">
        <f>VLOOKUP(A487,[3]RESUMEN!$A:$AH,34,1)</f>
        <v>0.44285131005141543</v>
      </c>
      <c r="N487" s="113">
        <f>VLOOKUP(A487,[3]RESUMEN!$A:$AI,35,1)</f>
        <v>0.41159269629946821</v>
      </c>
    </row>
    <row r="488" spans="1:14" x14ac:dyDescent="0.25">
      <c r="A488" s="102">
        <v>41047</v>
      </c>
      <c r="B488">
        <v>57.194000000000003</v>
      </c>
      <c r="C488">
        <v>89.224000000000004</v>
      </c>
      <c r="D488">
        <v>107.538</v>
      </c>
      <c r="E488">
        <v>145.34</v>
      </c>
      <c r="F488">
        <v>0.16</v>
      </c>
      <c r="G488">
        <v>0.17949999999999999</v>
      </c>
      <c r="H488">
        <v>0.218</v>
      </c>
      <c r="I488">
        <v>0.307</v>
      </c>
      <c r="J488">
        <v>0.66400000000000003</v>
      </c>
      <c r="K488">
        <v>9.2908708022543807E-2</v>
      </c>
      <c r="L488" s="112">
        <f>VLOOKUP(A488,[3]RESUMEN!$A:$AE,31,1)</f>
        <v>0.38033408254752099</v>
      </c>
      <c r="M488" s="113">
        <f>VLOOKUP(A488,[3]RESUMEN!$A:$AH,34,1)</f>
        <v>0.44285131005141543</v>
      </c>
      <c r="N488" s="113">
        <f>VLOOKUP(A488,[3]RESUMEN!$A:$AI,35,1)</f>
        <v>0.41159269629946821</v>
      </c>
    </row>
    <row r="489" spans="1:14" x14ac:dyDescent="0.25">
      <c r="A489" s="102">
        <v>41054</v>
      </c>
      <c r="B489">
        <v>62.796999999999997</v>
      </c>
      <c r="C489">
        <v>95.412999999999997</v>
      </c>
      <c r="D489">
        <v>114.343</v>
      </c>
      <c r="E489">
        <v>151.66499999999999</v>
      </c>
      <c r="F489">
        <v>0.15</v>
      </c>
      <c r="G489">
        <v>0.17699999999999999</v>
      </c>
      <c r="H489">
        <v>0.215</v>
      </c>
      <c r="I489">
        <v>0.30499999999999999</v>
      </c>
      <c r="J489">
        <v>0.67549999999999999</v>
      </c>
      <c r="K489">
        <v>9.6748941110122666E-2</v>
      </c>
      <c r="L489" s="112">
        <f>VLOOKUP(A489,[3]RESUMEN!$A:$AE,31,1)</f>
        <v>0.38033408254752099</v>
      </c>
      <c r="M489" s="113">
        <f>VLOOKUP(A489,[3]RESUMEN!$A:$AH,34,1)</f>
        <v>0.44285131005141543</v>
      </c>
      <c r="N489" s="113">
        <f>VLOOKUP(A489,[3]RESUMEN!$A:$AI,35,1)</f>
        <v>0.41159269629946821</v>
      </c>
    </row>
    <row r="490" spans="1:14" x14ac:dyDescent="0.25">
      <c r="A490" s="102">
        <v>41061</v>
      </c>
      <c r="B490">
        <v>69.974000000000004</v>
      </c>
      <c r="C490">
        <v>106.57599999999999</v>
      </c>
      <c r="D490">
        <v>126.94199999999999</v>
      </c>
      <c r="E490">
        <v>165.322</v>
      </c>
      <c r="F490">
        <v>0.16</v>
      </c>
      <c r="G490">
        <v>0.16</v>
      </c>
      <c r="H490">
        <v>0.18149999999999999</v>
      </c>
      <c r="I490">
        <v>0.23849999999999999</v>
      </c>
      <c r="J490">
        <v>0.55500000000000005</v>
      </c>
      <c r="K490">
        <v>0.1049838942289727</v>
      </c>
      <c r="L490" s="112">
        <f>VLOOKUP(A490,[3]RESUMEN!$A:$AE,31,1)</f>
        <v>0.38033408254752099</v>
      </c>
      <c r="M490" s="113">
        <f>VLOOKUP(A490,[3]RESUMEN!$A:$AH,34,1)</f>
        <v>0.44285131005141543</v>
      </c>
      <c r="N490" s="113">
        <f>VLOOKUP(A490,[3]RESUMEN!$A:$AI,35,1)</f>
        <v>0.41159269629946821</v>
      </c>
    </row>
    <row r="491" spans="1:14" x14ac:dyDescent="0.25">
      <c r="A491" s="102">
        <v>41068</v>
      </c>
      <c r="B491">
        <v>54.984000000000002</v>
      </c>
      <c r="C491">
        <v>93.353999999999999</v>
      </c>
      <c r="D491">
        <v>113.13</v>
      </c>
      <c r="E491">
        <v>150.85599999999999</v>
      </c>
      <c r="F491">
        <v>0.17</v>
      </c>
      <c r="G491">
        <v>0.16350000000000001</v>
      </c>
      <c r="H491">
        <v>0.182</v>
      </c>
      <c r="I491">
        <v>0.25800000000000001</v>
      </c>
      <c r="J491">
        <v>0.627</v>
      </c>
      <c r="K491">
        <v>9.6267067592343492E-2</v>
      </c>
      <c r="L491" s="112">
        <f>VLOOKUP(A491,[3]RESUMEN!$A:$AE,31,1)</f>
        <v>0.38033408254752099</v>
      </c>
      <c r="M491" s="113">
        <f>VLOOKUP(A491,[3]RESUMEN!$A:$AH,34,1)</f>
        <v>0.44285131005141543</v>
      </c>
      <c r="N491" s="113">
        <f>VLOOKUP(A491,[3]RESUMEN!$A:$AI,35,1)</f>
        <v>0.41159269629946821</v>
      </c>
    </row>
    <row r="492" spans="1:14" x14ac:dyDescent="0.25">
      <c r="A492" s="102">
        <v>41075</v>
      </c>
      <c r="B492">
        <v>47.137999999999998</v>
      </c>
      <c r="C492">
        <v>85.043999999999997</v>
      </c>
      <c r="D492">
        <v>102.2</v>
      </c>
      <c r="E492">
        <v>140.131</v>
      </c>
      <c r="F492">
        <v>0.18</v>
      </c>
      <c r="G492">
        <v>0.16300000000000001</v>
      </c>
      <c r="H492">
        <v>0.17599999999999999</v>
      </c>
      <c r="I492">
        <v>0.2475</v>
      </c>
      <c r="J492">
        <v>0.56899999999999995</v>
      </c>
      <c r="K492">
        <v>8.975984223494482E-2</v>
      </c>
      <c r="L492" s="112">
        <f>VLOOKUP(A492,[3]RESUMEN!$A:$AE,31,1)</f>
        <v>0.38033408254752099</v>
      </c>
      <c r="M492" s="113">
        <f>VLOOKUP(A492,[3]RESUMEN!$A:$AH,34,1)</f>
        <v>0.44285131005141543</v>
      </c>
      <c r="N492" s="113">
        <f>VLOOKUP(A492,[3]RESUMEN!$A:$AI,35,1)</f>
        <v>0.41159269629946821</v>
      </c>
    </row>
    <row r="493" spans="1:14" x14ac:dyDescent="0.25">
      <c r="A493" s="102">
        <v>41082</v>
      </c>
      <c r="B493">
        <v>49.381999999999998</v>
      </c>
      <c r="C493">
        <v>84.718000000000004</v>
      </c>
      <c r="D493">
        <v>103.167</v>
      </c>
      <c r="E493">
        <v>141.29599999999999</v>
      </c>
      <c r="F493">
        <v>0.17</v>
      </c>
      <c r="G493">
        <v>0.1825</v>
      </c>
      <c r="H493">
        <v>0.21199999999999999</v>
      </c>
      <c r="I493">
        <v>0.3</v>
      </c>
      <c r="J493">
        <v>0.66600000000000004</v>
      </c>
      <c r="K493">
        <v>9.0615491599520426E-2</v>
      </c>
      <c r="L493" s="112">
        <f>VLOOKUP(A493,[3]RESUMEN!$A:$AE,31,1)</f>
        <v>0.38033408254752099</v>
      </c>
      <c r="M493" s="113">
        <f>VLOOKUP(A493,[3]RESUMEN!$A:$AH,34,1)</f>
        <v>0.44285131005141543</v>
      </c>
      <c r="N493" s="113">
        <f>VLOOKUP(A493,[3]RESUMEN!$A:$AI,35,1)</f>
        <v>0.41159269629946821</v>
      </c>
    </row>
    <row r="494" spans="1:14" x14ac:dyDescent="0.25">
      <c r="A494" s="102">
        <v>41089</v>
      </c>
      <c r="B494">
        <v>53.481999999999999</v>
      </c>
      <c r="C494">
        <v>86.084999999999994</v>
      </c>
      <c r="D494">
        <v>103.77500000000001</v>
      </c>
      <c r="E494">
        <v>143.703</v>
      </c>
      <c r="F494">
        <v>0.09</v>
      </c>
      <c r="G494">
        <v>0.184</v>
      </c>
      <c r="H494">
        <v>0.21</v>
      </c>
      <c r="I494">
        <v>0.28999999999999998</v>
      </c>
      <c r="J494">
        <v>0.621</v>
      </c>
      <c r="K494">
        <v>9.1478881022492353E-2</v>
      </c>
      <c r="L494" s="112">
        <f>VLOOKUP(A494,[3]RESUMEN!$A:$AE,31,1)</f>
        <v>0.38033408254752099</v>
      </c>
      <c r="M494" s="113">
        <f>VLOOKUP(A494,[3]RESUMEN!$A:$AH,34,1)</f>
        <v>0.44285131005141543</v>
      </c>
      <c r="N494" s="113">
        <f>VLOOKUP(A494,[3]RESUMEN!$A:$AI,35,1)</f>
        <v>0.41159269629946821</v>
      </c>
    </row>
    <row r="495" spans="1:14" x14ac:dyDescent="0.25">
      <c r="A495" s="102">
        <v>41096</v>
      </c>
      <c r="B495">
        <v>49.637</v>
      </c>
      <c r="C495">
        <v>83.039000000000001</v>
      </c>
      <c r="D495">
        <v>100.913</v>
      </c>
      <c r="E495">
        <v>137.959</v>
      </c>
      <c r="F495">
        <v>0.17</v>
      </c>
      <c r="G495">
        <v>0.16900000000000001</v>
      </c>
      <c r="H495">
        <v>0.188</v>
      </c>
      <c r="I495">
        <v>0.251</v>
      </c>
      <c r="J495">
        <v>0.56399999999999995</v>
      </c>
      <c r="K495">
        <v>8.8427128158747537E-2</v>
      </c>
      <c r="L495" s="112">
        <f>VLOOKUP(A495,[3]RESUMEN!$A:$AE,31,1)</f>
        <v>0.65981087465954547</v>
      </c>
      <c r="M495" s="113">
        <f>VLOOKUP(A495,[3]RESUMEN!$A:$AH,34,1)</f>
        <v>0.16141690879990511</v>
      </c>
      <c r="N495" s="113">
        <f>VLOOKUP(A495,[3]RESUMEN!$A:$AI,35,1)</f>
        <v>0.41061389172972529</v>
      </c>
    </row>
    <row r="496" spans="1:14" x14ac:dyDescent="0.25">
      <c r="A496" s="102">
        <v>41103</v>
      </c>
      <c r="B496">
        <v>43.706000000000003</v>
      </c>
      <c r="C496">
        <v>74.998000000000005</v>
      </c>
      <c r="D496">
        <v>91.930999999999997</v>
      </c>
      <c r="E496">
        <v>126.848</v>
      </c>
      <c r="F496">
        <v>0.19</v>
      </c>
      <c r="G496">
        <v>0.14000000000000001</v>
      </c>
      <c r="H496">
        <v>0.156</v>
      </c>
      <c r="I496">
        <v>0.24049999999999999</v>
      </c>
      <c r="J496">
        <v>0.53600000000000003</v>
      </c>
      <c r="K496">
        <v>8.1583915228647497E-2</v>
      </c>
      <c r="L496" s="112">
        <f>VLOOKUP(A496,[3]RESUMEN!$A:$AE,31,1)</f>
        <v>0.65981087465954547</v>
      </c>
      <c r="M496" s="113">
        <f>VLOOKUP(A496,[3]RESUMEN!$A:$AH,34,1)</f>
        <v>0.16141690879990511</v>
      </c>
      <c r="N496" s="113">
        <f>VLOOKUP(A496,[3]RESUMEN!$A:$AI,35,1)</f>
        <v>0.41061389172972529</v>
      </c>
    </row>
    <row r="497" spans="1:14" x14ac:dyDescent="0.25">
      <c r="A497" s="102">
        <v>41110</v>
      </c>
      <c r="B497">
        <v>38.732999999999997</v>
      </c>
      <c r="C497">
        <v>71.385999999999996</v>
      </c>
      <c r="D497">
        <v>88.406999999999996</v>
      </c>
      <c r="E497">
        <v>126.886</v>
      </c>
      <c r="F497">
        <v>0.13</v>
      </c>
      <c r="G497">
        <v>0.13200000000000001</v>
      </c>
      <c r="H497">
        <v>0.14000000000000001</v>
      </c>
      <c r="I497">
        <v>0.19800000000000001</v>
      </c>
      <c r="J497">
        <v>0.49399999999999999</v>
      </c>
      <c r="K497">
        <v>8.1583915228647497E-2</v>
      </c>
      <c r="L497" s="112">
        <f>VLOOKUP(A497,[3]RESUMEN!$A:$AE,31,1)</f>
        <v>0.65981087465954547</v>
      </c>
      <c r="M497" s="113">
        <f>VLOOKUP(A497,[3]RESUMEN!$A:$AH,34,1)</f>
        <v>0.16141690879990511</v>
      </c>
      <c r="N497" s="113">
        <f>VLOOKUP(A497,[3]RESUMEN!$A:$AI,35,1)</f>
        <v>0.41061389172972529</v>
      </c>
    </row>
    <row r="498" spans="1:14" x14ac:dyDescent="0.25">
      <c r="A498" s="102">
        <v>41117</v>
      </c>
      <c r="B498">
        <v>37.279000000000003</v>
      </c>
      <c r="C498">
        <v>70.668999999999997</v>
      </c>
      <c r="D498">
        <v>87.900999999999996</v>
      </c>
      <c r="E498">
        <v>124.02800000000001</v>
      </c>
      <c r="F498">
        <v>0.14000000000000001</v>
      </c>
      <c r="G498">
        <v>0.13900000000000001</v>
      </c>
      <c r="H498">
        <v>0.155</v>
      </c>
      <c r="I498">
        <v>0.22700000000000001</v>
      </c>
      <c r="J498">
        <v>0.55100000000000005</v>
      </c>
      <c r="K498">
        <v>7.9873813687552642E-2</v>
      </c>
      <c r="L498" s="112">
        <f>VLOOKUP(A498,[3]RESUMEN!$A:$AE,31,1)</f>
        <v>0.65981087465954547</v>
      </c>
      <c r="M498" s="113">
        <f>VLOOKUP(A498,[3]RESUMEN!$A:$AH,34,1)</f>
        <v>0.16141690879990511</v>
      </c>
      <c r="N498" s="113">
        <f>VLOOKUP(A498,[3]RESUMEN!$A:$AI,35,1)</f>
        <v>0.41061389172972529</v>
      </c>
    </row>
    <row r="499" spans="1:14" x14ac:dyDescent="0.25">
      <c r="A499" s="102">
        <v>41124</v>
      </c>
      <c r="B499">
        <v>32.628999999999998</v>
      </c>
      <c r="C499">
        <v>61.21</v>
      </c>
      <c r="D499">
        <v>79.106999999999999</v>
      </c>
      <c r="E499">
        <v>116.726</v>
      </c>
      <c r="F499">
        <v>0.14000000000000001</v>
      </c>
      <c r="G499">
        <v>0.13900000000000001</v>
      </c>
      <c r="H499">
        <v>0.16500000000000001</v>
      </c>
      <c r="I499">
        <v>0.247</v>
      </c>
      <c r="J499">
        <v>0.59599999999999997</v>
      </c>
      <c r="K499">
        <v>7.5388906084135732E-2</v>
      </c>
      <c r="L499" s="112">
        <f>VLOOKUP(A499,[3]RESUMEN!$A:$AE,31,1)</f>
        <v>0.65981087465954547</v>
      </c>
      <c r="M499" s="113">
        <f>VLOOKUP(A499,[3]RESUMEN!$A:$AH,34,1)</f>
        <v>0.16141690879990511</v>
      </c>
      <c r="N499" s="113">
        <f>VLOOKUP(A499,[3]RESUMEN!$A:$AI,35,1)</f>
        <v>0.41061389172972529</v>
      </c>
    </row>
    <row r="500" spans="1:14" x14ac:dyDescent="0.25">
      <c r="A500" s="102">
        <v>41131</v>
      </c>
      <c r="B500">
        <v>33.667000000000002</v>
      </c>
      <c r="C500">
        <v>58.704999999999998</v>
      </c>
      <c r="D500">
        <v>78.147999999999996</v>
      </c>
      <c r="E500">
        <v>116.483</v>
      </c>
      <c r="F500">
        <v>0.13</v>
      </c>
      <c r="G500">
        <v>0.14499999999999999</v>
      </c>
      <c r="H500">
        <v>0.184</v>
      </c>
      <c r="I500">
        <v>0.27200000000000002</v>
      </c>
      <c r="J500">
        <v>0.627</v>
      </c>
      <c r="K500">
        <v>7.5388906084135732E-2</v>
      </c>
      <c r="L500" s="112">
        <f>VLOOKUP(A500,[3]RESUMEN!$A:$AE,31,1)</f>
        <v>0.65981087465954547</v>
      </c>
      <c r="M500" s="113">
        <f>VLOOKUP(A500,[3]RESUMEN!$A:$AH,34,1)</f>
        <v>0.16141690879990511</v>
      </c>
      <c r="N500" s="113">
        <f>VLOOKUP(A500,[3]RESUMEN!$A:$AI,35,1)</f>
        <v>0.41061389172972529</v>
      </c>
    </row>
    <row r="501" spans="1:14" x14ac:dyDescent="0.25">
      <c r="A501" s="102">
        <v>41138</v>
      </c>
      <c r="B501">
        <v>33.209000000000003</v>
      </c>
      <c r="C501">
        <v>59.222999999999999</v>
      </c>
      <c r="D501">
        <v>76.781000000000006</v>
      </c>
      <c r="E501">
        <v>114.833</v>
      </c>
      <c r="F501">
        <v>0.13</v>
      </c>
      <c r="G501">
        <v>0.14599999999999999</v>
      </c>
      <c r="H501">
        <v>0.19600000000000001</v>
      </c>
      <c r="I501">
        <v>0.308</v>
      </c>
      <c r="J501">
        <v>0.70399999999999996</v>
      </c>
      <c r="K501">
        <v>7.466389267641349E-2</v>
      </c>
      <c r="L501" s="112">
        <f>VLOOKUP(A501,[3]RESUMEN!$A:$AE,31,1)</f>
        <v>0.65981087465954547</v>
      </c>
      <c r="M501" s="113">
        <f>VLOOKUP(A501,[3]RESUMEN!$A:$AH,34,1)</f>
        <v>0.16141690879990511</v>
      </c>
      <c r="N501" s="113">
        <f>VLOOKUP(A501,[3]RESUMEN!$A:$AI,35,1)</f>
        <v>0.41061389172972529</v>
      </c>
    </row>
    <row r="502" spans="1:14" x14ac:dyDescent="0.25">
      <c r="A502" s="102">
        <v>41145</v>
      </c>
      <c r="B502">
        <v>32.268000000000001</v>
      </c>
      <c r="C502">
        <v>57.075000000000003</v>
      </c>
      <c r="D502">
        <v>75.474000000000004</v>
      </c>
      <c r="E502">
        <v>115.16500000000001</v>
      </c>
      <c r="F502">
        <v>0.13</v>
      </c>
      <c r="G502">
        <v>0.13400000000000001</v>
      </c>
      <c r="H502">
        <v>0.17199999999999999</v>
      </c>
      <c r="I502">
        <v>0.25600000000000001</v>
      </c>
      <c r="J502">
        <v>0.61499999999999999</v>
      </c>
      <c r="K502">
        <v>7.466389267641349E-2</v>
      </c>
      <c r="L502" s="112">
        <f>VLOOKUP(A502,[3]RESUMEN!$A:$AE,31,1)</f>
        <v>0.65981087465954547</v>
      </c>
      <c r="M502" s="113">
        <f>VLOOKUP(A502,[3]RESUMEN!$A:$AH,34,1)</f>
        <v>0.16141690879990511</v>
      </c>
      <c r="N502" s="113">
        <f>VLOOKUP(A502,[3]RESUMEN!$A:$AI,35,1)</f>
        <v>0.41061389172972529</v>
      </c>
    </row>
    <row r="503" spans="1:14" x14ac:dyDescent="0.25">
      <c r="A503" s="102">
        <v>41152</v>
      </c>
      <c r="B503">
        <v>32.994999999999997</v>
      </c>
      <c r="C503">
        <v>55.75</v>
      </c>
      <c r="D503">
        <v>77.102000000000004</v>
      </c>
      <c r="E503">
        <v>114.86499999999999</v>
      </c>
      <c r="F503">
        <v>0.13</v>
      </c>
      <c r="G503">
        <v>0.1205</v>
      </c>
      <c r="H503">
        <v>0.14399999999999999</v>
      </c>
      <c r="I503">
        <v>0.19700000000000001</v>
      </c>
      <c r="J503">
        <v>0.501</v>
      </c>
      <c r="K503">
        <v>7.466389267641349E-2</v>
      </c>
      <c r="L503" s="112">
        <f>VLOOKUP(A503,[3]RESUMEN!$A:$AE,31,1)</f>
        <v>0.65981087465954547</v>
      </c>
      <c r="M503" s="113">
        <f>VLOOKUP(A503,[3]RESUMEN!$A:$AH,34,1)</f>
        <v>0.16141690879990511</v>
      </c>
      <c r="N503" s="113">
        <f>VLOOKUP(A503,[3]RESUMEN!$A:$AI,35,1)</f>
        <v>0.41061389172972529</v>
      </c>
    </row>
    <row r="504" spans="1:14" x14ac:dyDescent="0.25">
      <c r="A504" s="102">
        <v>41159</v>
      </c>
      <c r="B504">
        <v>25.919</v>
      </c>
      <c r="C504">
        <v>48.393999999999998</v>
      </c>
      <c r="D504">
        <v>66.415000000000006</v>
      </c>
      <c r="E504">
        <v>105.063</v>
      </c>
      <c r="F504">
        <v>0.15</v>
      </c>
      <c r="G504">
        <v>0.128</v>
      </c>
      <c r="H504">
        <v>0.1535</v>
      </c>
      <c r="I504">
        <v>0.217</v>
      </c>
      <c r="J504">
        <v>0.55600000000000005</v>
      </c>
      <c r="K504">
        <v>6.8147101362754703E-2</v>
      </c>
      <c r="L504" s="112">
        <f>VLOOKUP(A504,[3]RESUMEN!$A:$AE,31,1)</f>
        <v>0.65981087465954547</v>
      </c>
      <c r="M504" s="113">
        <f>VLOOKUP(A504,[3]RESUMEN!$A:$AH,34,1)</f>
        <v>0.16141690879990511</v>
      </c>
      <c r="N504" s="113">
        <f>VLOOKUP(A504,[3]RESUMEN!$A:$AI,35,1)</f>
        <v>0.41061389172972529</v>
      </c>
    </row>
    <row r="505" spans="1:14" x14ac:dyDescent="0.25">
      <c r="A505" s="102">
        <v>41166</v>
      </c>
      <c r="B505">
        <v>20.923999999999999</v>
      </c>
      <c r="C505">
        <v>40.332999999999998</v>
      </c>
      <c r="D505">
        <v>58.097000000000001</v>
      </c>
      <c r="E505">
        <v>89.55</v>
      </c>
      <c r="F505">
        <v>0.16</v>
      </c>
      <c r="G505">
        <v>0.13</v>
      </c>
      <c r="H505">
        <v>0.159</v>
      </c>
      <c r="I505">
        <v>0.24199999999999999</v>
      </c>
      <c r="J505">
        <v>0.626</v>
      </c>
      <c r="K505">
        <v>5.8333700216100071E-2</v>
      </c>
      <c r="L505" s="112">
        <f>VLOOKUP(A505,[3]RESUMEN!$A:$AE,31,1)</f>
        <v>0.65981087465954547</v>
      </c>
      <c r="M505" s="113">
        <f>VLOOKUP(A505,[3]RESUMEN!$A:$AH,34,1)</f>
        <v>0.16141690879990511</v>
      </c>
      <c r="N505" s="113">
        <f>VLOOKUP(A505,[3]RESUMEN!$A:$AI,35,1)</f>
        <v>0.41061389172972529</v>
      </c>
    </row>
    <row r="506" spans="1:14" x14ac:dyDescent="0.25">
      <c r="A506" s="102">
        <v>41173</v>
      </c>
      <c r="B506">
        <v>19.146999999999998</v>
      </c>
      <c r="C506">
        <v>36.819000000000003</v>
      </c>
      <c r="D506">
        <v>54.576999999999998</v>
      </c>
      <c r="E506">
        <v>96.007000000000005</v>
      </c>
      <c r="F506">
        <v>0.15</v>
      </c>
      <c r="G506">
        <v>0.13350000000000001</v>
      </c>
      <c r="H506">
        <v>0.1575</v>
      </c>
      <c r="I506">
        <v>0.22500000000000001</v>
      </c>
      <c r="J506">
        <v>0.56499999999999995</v>
      </c>
      <c r="K506">
        <v>6.2510520224367094E-2</v>
      </c>
      <c r="L506" s="112">
        <f>VLOOKUP(A506,[3]RESUMEN!$A:$AE,31,1)</f>
        <v>0.65981087465954547</v>
      </c>
      <c r="M506" s="113">
        <f>VLOOKUP(A506,[3]RESUMEN!$A:$AH,34,1)</f>
        <v>0.16141690879990511</v>
      </c>
      <c r="N506" s="113">
        <f>VLOOKUP(A506,[3]RESUMEN!$A:$AI,35,1)</f>
        <v>0.41061389172972529</v>
      </c>
    </row>
    <row r="507" spans="1:14" x14ac:dyDescent="0.25">
      <c r="A507" s="102">
        <v>41180</v>
      </c>
      <c r="B507">
        <v>28.178999999999998</v>
      </c>
      <c r="C507">
        <v>45.167999999999999</v>
      </c>
      <c r="D507">
        <v>62.162999999999997</v>
      </c>
      <c r="E507">
        <v>103.985</v>
      </c>
      <c r="F507">
        <v>0.09</v>
      </c>
      <c r="G507">
        <v>0.127</v>
      </c>
      <c r="H507">
        <v>0.14499999999999999</v>
      </c>
      <c r="I507">
        <v>0.20799999999999999</v>
      </c>
      <c r="J507">
        <v>0.52600000000000002</v>
      </c>
      <c r="K507">
        <v>6.7503256783486232E-2</v>
      </c>
      <c r="L507" s="112">
        <f>VLOOKUP(A507,[3]RESUMEN!$A:$AE,31,1)</f>
        <v>0.65981087465954547</v>
      </c>
      <c r="M507" s="113">
        <f>VLOOKUP(A507,[3]RESUMEN!$A:$AH,34,1)</f>
        <v>0.16141690879990511</v>
      </c>
      <c r="N507" s="113">
        <f>VLOOKUP(A507,[3]RESUMEN!$A:$AI,35,1)</f>
        <v>0.41061389172972529</v>
      </c>
    </row>
    <row r="508" spans="1:14" x14ac:dyDescent="0.25">
      <c r="A508" s="102">
        <v>41187</v>
      </c>
      <c r="B508">
        <v>28.036000000000001</v>
      </c>
      <c r="C508">
        <v>45.929000000000002</v>
      </c>
      <c r="D508">
        <v>65.111000000000004</v>
      </c>
      <c r="E508">
        <v>102.428</v>
      </c>
      <c r="F508">
        <v>0.15</v>
      </c>
      <c r="G508">
        <v>0.13</v>
      </c>
      <c r="H508">
        <v>0.157</v>
      </c>
      <c r="I508">
        <v>0.22600000000000001</v>
      </c>
      <c r="J508">
        <v>0.56000000000000005</v>
      </c>
      <c r="K508">
        <v>6.6851310558312282E-2</v>
      </c>
      <c r="L508" s="112">
        <f>VLOOKUP(A508,[3]RESUMEN!$A:$AE,31,1)</f>
        <v>0.62595781951145746</v>
      </c>
      <c r="M508" s="113">
        <f>VLOOKUP(A508,[3]RESUMEN!$A:$AH,34,1)</f>
        <v>0.60094657998541545</v>
      </c>
      <c r="N508" s="113">
        <f>VLOOKUP(A508,[3]RESUMEN!$A:$AI,35,1)</f>
        <v>0.61345219974843646</v>
      </c>
    </row>
    <row r="509" spans="1:14" x14ac:dyDescent="0.25">
      <c r="A509" s="102">
        <v>41194</v>
      </c>
      <c r="B509">
        <v>31.155999999999999</v>
      </c>
      <c r="C509">
        <v>46.673999999999999</v>
      </c>
      <c r="D509">
        <v>64.322999999999993</v>
      </c>
      <c r="E509">
        <v>103.673</v>
      </c>
      <c r="F509">
        <v>0.16</v>
      </c>
      <c r="G509">
        <v>0.13250000000000001</v>
      </c>
      <c r="H509">
        <v>0.16300000000000001</v>
      </c>
      <c r="I509">
        <v>0.23300000000000001</v>
      </c>
      <c r="J509">
        <v>0.54900000000000004</v>
      </c>
      <c r="K509">
        <v>6.6851310558312282E-2</v>
      </c>
      <c r="L509" s="112">
        <f>VLOOKUP(A509,[3]RESUMEN!$A:$AE,31,1)</f>
        <v>0.62595781951145746</v>
      </c>
      <c r="M509" s="113">
        <f>VLOOKUP(A509,[3]RESUMEN!$A:$AH,34,1)</f>
        <v>0.60094657998541545</v>
      </c>
      <c r="N509" s="113">
        <f>VLOOKUP(A509,[3]RESUMEN!$A:$AI,35,1)</f>
        <v>0.61345219974843646</v>
      </c>
    </row>
    <row r="510" spans="1:14" x14ac:dyDescent="0.25">
      <c r="A510" s="102">
        <v>41201</v>
      </c>
      <c r="B510">
        <v>30.225000000000001</v>
      </c>
      <c r="C510">
        <v>45.734000000000002</v>
      </c>
      <c r="D510">
        <v>63.34</v>
      </c>
      <c r="E510">
        <v>102.17</v>
      </c>
      <c r="F510">
        <v>0.16</v>
      </c>
      <c r="G510">
        <v>0.14299999999999999</v>
      </c>
      <c r="H510">
        <v>0.1855</v>
      </c>
      <c r="I510">
        <v>0.27600000000000002</v>
      </c>
      <c r="J510">
        <v>0.621</v>
      </c>
      <c r="K510">
        <v>6.6851310558312282E-2</v>
      </c>
      <c r="L510" s="112">
        <f>VLOOKUP(A510,[3]RESUMEN!$A:$AE,31,1)</f>
        <v>0.62595781951145746</v>
      </c>
      <c r="M510" s="113">
        <f>VLOOKUP(A510,[3]RESUMEN!$A:$AH,34,1)</f>
        <v>0.60094657998541545</v>
      </c>
      <c r="N510" s="113">
        <f>VLOOKUP(A510,[3]RESUMEN!$A:$AI,35,1)</f>
        <v>0.61345219974843646</v>
      </c>
    </row>
    <row r="511" spans="1:14" x14ac:dyDescent="0.25">
      <c r="A511" s="102">
        <v>41208</v>
      </c>
      <c r="B511">
        <v>28.593</v>
      </c>
      <c r="C511">
        <v>43.87</v>
      </c>
      <c r="D511">
        <v>62.066000000000003</v>
      </c>
      <c r="E511">
        <v>100.495</v>
      </c>
      <c r="F511">
        <v>0.16</v>
      </c>
      <c r="G511">
        <v>0.153</v>
      </c>
      <c r="H511">
        <v>0.191</v>
      </c>
      <c r="I511">
        <v>0.28100000000000003</v>
      </c>
      <c r="J511">
        <v>0.61799999999999999</v>
      </c>
      <c r="K511">
        <v>6.5285774614087799E-2</v>
      </c>
      <c r="L511" s="112">
        <f>VLOOKUP(A511,[3]RESUMEN!$A:$AE,31,1)</f>
        <v>0.62595781951145746</v>
      </c>
      <c r="M511" s="113">
        <f>VLOOKUP(A511,[3]RESUMEN!$A:$AH,34,1)</f>
        <v>0.60094657998541545</v>
      </c>
      <c r="N511" s="113">
        <f>VLOOKUP(A511,[3]RESUMEN!$A:$AI,35,1)</f>
        <v>0.61345219974843646</v>
      </c>
    </row>
    <row r="512" spans="1:14" x14ac:dyDescent="0.25">
      <c r="A512" s="102">
        <v>41215</v>
      </c>
      <c r="B512">
        <v>27.957999999999998</v>
      </c>
      <c r="C512">
        <v>43.97</v>
      </c>
      <c r="D512">
        <v>61.465000000000003</v>
      </c>
      <c r="E512">
        <v>100.111</v>
      </c>
      <c r="F512">
        <v>0.16</v>
      </c>
      <c r="G512">
        <v>0.15</v>
      </c>
      <c r="H512">
        <v>0.17899999999999999</v>
      </c>
      <c r="I512">
        <v>0.254</v>
      </c>
      <c r="J512">
        <v>0.57499999999999996</v>
      </c>
      <c r="K512">
        <v>6.5285774614087799E-2</v>
      </c>
      <c r="L512" s="112">
        <f>VLOOKUP(A512,[3]RESUMEN!$A:$AE,31,1)</f>
        <v>0.62595781951145746</v>
      </c>
      <c r="M512" s="113">
        <f>VLOOKUP(A512,[3]RESUMEN!$A:$AH,34,1)</f>
        <v>0.60094657998541545</v>
      </c>
      <c r="N512" s="113">
        <f>VLOOKUP(A512,[3]RESUMEN!$A:$AI,35,1)</f>
        <v>0.61345219974843646</v>
      </c>
    </row>
    <row r="513" spans="1:14" x14ac:dyDescent="0.25">
      <c r="A513" s="102">
        <v>41222</v>
      </c>
      <c r="B513">
        <v>26.056000000000001</v>
      </c>
      <c r="C513">
        <v>43.418999999999997</v>
      </c>
      <c r="D513">
        <v>62.238</v>
      </c>
      <c r="E513">
        <v>98.832999999999998</v>
      </c>
      <c r="F513">
        <v>0.16</v>
      </c>
      <c r="G513">
        <v>0.14199999999999999</v>
      </c>
      <c r="H513">
        <v>0.16500000000000001</v>
      </c>
      <c r="I513">
        <v>0.22800000000000001</v>
      </c>
      <c r="J513">
        <v>0.52</v>
      </c>
      <c r="K513">
        <v>6.4654494481988678E-2</v>
      </c>
      <c r="L513" s="112">
        <f>VLOOKUP(A513,[3]RESUMEN!$A:$AE,31,1)</f>
        <v>0.62595781951145746</v>
      </c>
      <c r="M513" s="113">
        <f>VLOOKUP(A513,[3]RESUMEN!$A:$AH,34,1)</f>
        <v>0.60094657998541545</v>
      </c>
      <c r="N513" s="113">
        <f>VLOOKUP(A513,[3]RESUMEN!$A:$AI,35,1)</f>
        <v>0.61345219974843646</v>
      </c>
    </row>
    <row r="514" spans="1:14" x14ac:dyDescent="0.25">
      <c r="A514" s="102">
        <v>41229</v>
      </c>
      <c r="B514">
        <v>29.826999999999998</v>
      </c>
      <c r="C514">
        <v>47.750999999999998</v>
      </c>
      <c r="D514">
        <v>67.183000000000007</v>
      </c>
      <c r="E514">
        <v>105.173</v>
      </c>
      <c r="F514">
        <v>0.16</v>
      </c>
      <c r="G514">
        <v>0.13700000000000001</v>
      </c>
      <c r="H514">
        <v>0.15</v>
      </c>
      <c r="I514">
        <v>0.21199999999999999</v>
      </c>
      <c r="J514">
        <v>0.49</v>
      </c>
      <c r="K514">
        <v>6.8215597373507575E-2</v>
      </c>
      <c r="L514" s="112">
        <f>VLOOKUP(A514,[3]RESUMEN!$A:$AE,31,1)</f>
        <v>0.62595781951145746</v>
      </c>
      <c r="M514" s="113">
        <f>VLOOKUP(A514,[3]RESUMEN!$A:$AH,34,1)</f>
        <v>0.60094657998541545</v>
      </c>
      <c r="N514" s="113">
        <f>VLOOKUP(A514,[3]RESUMEN!$A:$AI,35,1)</f>
        <v>0.61345219974843646</v>
      </c>
    </row>
    <row r="515" spans="1:14" x14ac:dyDescent="0.25">
      <c r="A515" s="102">
        <v>41236</v>
      </c>
      <c r="B515">
        <v>28.844000000000001</v>
      </c>
      <c r="C515">
        <v>44.152999999999999</v>
      </c>
      <c r="D515">
        <v>61.567</v>
      </c>
      <c r="E515">
        <v>100.169</v>
      </c>
      <c r="F515">
        <v>0.16</v>
      </c>
      <c r="G515">
        <v>0.14249999999999999</v>
      </c>
      <c r="H515">
        <v>0.17299999999999999</v>
      </c>
      <c r="I515">
        <v>0.248</v>
      </c>
      <c r="J515">
        <v>0.55900000000000005</v>
      </c>
      <c r="K515">
        <v>6.5082749473748591E-2</v>
      </c>
      <c r="L515" s="112">
        <f>VLOOKUP(A515,[3]RESUMEN!$A:$AE,31,1)</f>
        <v>0.62595781951145746</v>
      </c>
      <c r="M515" s="113">
        <f>VLOOKUP(A515,[3]RESUMEN!$A:$AH,34,1)</f>
        <v>0.60094657998541545</v>
      </c>
      <c r="N515" s="113">
        <f>VLOOKUP(A515,[3]RESUMEN!$A:$AI,35,1)</f>
        <v>0.61345219974843646</v>
      </c>
    </row>
    <row r="516" spans="1:14" x14ac:dyDescent="0.25">
      <c r="A516" s="102">
        <v>41243</v>
      </c>
      <c r="B516">
        <v>28.039000000000001</v>
      </c>
      <c r="C516">
        <v>42.39</v>
      </c>
      <c r="D516">
        <v>61.927999999999997</v>
      </c>
      <c r="E516">
        <v>101.075</v>
      </c>
      <c r="F516">
        <v>0.16</v>
      </c>
      <c r="G516">
        <v>0.13900000000000001</v>
      </c>
      <c r="H516">
        <v>0.154</v>
      </c>
      <c r="I516">
        <v>0.21099999999999999</v>
      </c>
      <c r="J516">
        <v>0.497</v>
      </c>
      <c r="K516">
        <v>6.5082749473748591E-2</v>
      </c>
      <c r="L516" s="112">
        <f>VLOOKUP(A516,[3]RESUMEN!$A:$AE,31,1)</f>
        <v>0.62595781951145746</v>
      </c>
      <c r="M516" s="113">
        <f>VLOOKUP(A516,[3]RESUMEN!$A:$AH,34,1)</f>
        <v>0.60094657998541545</v>
      </c>
      <c r="N516" s="113">
        <f>VLOOKUP(A516,[3]RESUMEN!$A:$AI,35,1)</f>
        <v>0.61345219974843646</v>
      </c>
    </row>
    <row r="517" spans="1:14" x14ac:dyDescent="0.25">
      <c r="A517" s="102">
        <v>41250</v>
      </c>
      <c r="B517">
        <v>25.766999999999999</v>
      </c>
      <c r="C517">
        <v>40.767000000000003</v>
      </c>
      <c r="D517">
        <v>60.015000000000001</v>
      </c>
      <c r="E517">
        <v>99.875</v>
      </c>
      <c r="F517">
        <v>0.16</v>
      </c>
      <c r="G517">
        <v>0.13500000000000001</v>
      </c>
      <c r="H517">
        <v>0.1515</v>
      </c>
      <c r="I517">
        <v>0.20599999999999999</v>
      </c>
      <c r="J517">
        <v>0.49349999999999999</v>
      </c>
      <c r="K517">
        <v>6.5082749473748591E-2</v>
      </c>
      <c r="L517" s="112">
        <f>VLOOKUP(A517,[3]RESUMEN!$A:$AE,31,1)</f>
        <v>0.62595781951145746</v>
      </c>
      <c r="M517" s="113">
        <f>VLOOKUP(A517,[3]RESUMEN!$A:$AH,34,1)</f>
        <v>0.60094657998541545</v>
      </c>
      <c r="N517" s="113">
        <f>VLOOKUP(A517,[3]RESUMEN!$A:$AI,35,1)</f>
        <v>0.61345219974843646</v>
      </c>
    </row>
    <row r="518" spans="1:14" x14ac:dyDescent="0.25">
      <c r="A518" s="102">
        <v>41257</v>
      </c>
      <c r="B518">
        <v>24.219000000000001</v>
      </c>
      <c r="C518">
        <v>39.738999999999997</v>
      </c>
      <c r="D518">
        <v>57.932000000000002</v>
      </c>
      <c r="E518">
        <v>95.125</v>
      </c>
      <c r="F518">
        <v>0.17</v>
      </c>
      <c r="G518">
        <v>0.126</v>
      </c>
      <c r="H518">
        <v>0.14799999999999999</v>
      </c>
      <c r="I518">
        <v>0.22800000000000001</v>
      </c>
      <c r="J518">
        <v>0.57099999999999995</v>
      </c>
      <c r="K518">
        <v>6.1907196879427584E-2</v>
      </c>
      <c r="L518" s="112">
        <f>VLOOKUP(A518,[3]RESUMEN!$A:$AE,31,1)</f>
        <v>0.62595781951145746</v>
      </c>
      <c r="M518" s="113">
        <f>VLOOKUP(A518,[3]RESUMEN!$A:$AH,34,1)</f>
        <v>0.60094657998541545</v>
      </c>
      <c r="N518" s="113">
        <f>VLOOKUP(A518,[3]RESUMEN!$A:$AI,35,1)</f>
        <v>0.61345219974843646</v>
      </c>
    </row>
    <row r="519" spans="1:14" x14ac:dyDescent="0.25">
      <c r="A519" s="102">
        <v>41264</v>
      </c>
      <c r="B519">
        <v>26.811</v>
      </c>
      <c r="C519">
        <v>40.045000000000002</v>
      </c>
      <c r="D519">
        <v>58.664000000000001</v>
      </c>
      <c r="E519">
        <v>95.662999999999997</v>
      </c>
      <c r="F519">
        <v>0.17</v>
      </c>
      <c r="G519">
        <v>0.14499999999999999</v>
      </c>
      <c r="H519">
        <v>0.183</v>
      </c>
      <c r="I519">
        <v>0.27200000000000002</v>
      </c>
      <c r="J519">
        <v>0.622</v>
      </c>
      <c r="K519">
        <v>6.1907196879427584E-2</v>
      </c>
      <c r="L519" s="112">
        <f>VLOOKUP(A519,[3]RESUMEN!$A:$AE,31,1)</f>
        <v>0.62595781951145746</v>
      </c>
      <c r="M519" s="113">
        <f>VLOOKUP(A519,[3]RESUMEN!$A:$AH,34,1)</f>
        <v>0.60094657998541545</v>
      </c>
      <c r="N519" s="113">
        <f>VLOOKUP(A519,[3]RESUMEN!$A:$AI,35,1)</f>
        <v>0.61345219974843646</v>
      </c>
    </row>
    <row r="520" spans="1:14" x14ac:dyDescent="0.25">
      <c r="A520" s="102">
        <v>41271</v>
      </c>
      <c r="B520">
        <v>28.254999999999999</v>
      </c>
      <c r="C520">
        <v>41.484000000000002</v>
      </c>
      <c r="D520">
        <v>60.131</v>
      </c>
      <c r="E520">
        <v>97.153999999999996</v>
      </c>
      <c r="F520">
        <v>0.17</v>
      </c>
      <c r="G520">
        <v>0.14000000000000001</v>
      </c>
      <c r="H520">
        <v>0.17</v>
      </c>
      <c r="I520">
        <v>0.251</v>
      </c>
      <c r="J520">
        <v>0.57599999999999996</v>
      </c>
      <c r="K520">
        <v>6.3183808026118782E-2</v>
      </c>
      <c r="L520" s="112">
        <f>VLOOKUP(A520,[3]RESUMEN!$A:$AE,31,1)</f>
        <v>0.62595781951145746</v>
      </c>
      <c r="M520" s="113">
        <f>VLOOKUP(A520,[3]RESUMEN!$A:$AH,34,1)</f>
        <v>0.60094657998541545</v>
      </c>
      <c r="N520" s="113">
        <f>VLOOKUP(A520,[3]RESUMEN!$A:$AI,35,1)</f>
        <v>0.61345219974843646</v>
      </c>
    </row>
    <row r="521" spans="1:14" x14ac:dyDescent="0.25">
      <c r="A521" s="102">
        <v>41278</v>
      </c>
      <c r="B521">
        <v>25.114000000000001</v>
      </c>
      <c r="C521">
        <v>37.401000000000003</v>
      </c>
      <c r="D521">
        <v>54.384</v>
      </c>
      <c r="E521">
        <v>90.334999999999994</v>
      </c>
      <c r="F521">
        <v>0.16</v>
      </c>
      <c r="G521">
        <v>0.14149999999999999</v>
      </c>
      <c r="H521">
        <v>0.187</v>
      </c>
      <c r="I521">
        <v>0.29199999999999998</v>
      </c>
      <c r="J521">
        <v>0.66800000000000004</v>
      </c>
      <c r="K521">
        <v>5.8872572293787395E-2</v>
      </c>
      <c r="L521" s="112">
        <f>VLOOKUP(A521,[3]RESUMEN!$A:$AE,31,1)</f>
        <v>0.5476505541389225</v>
      </c>
      <c r="M521" s="113">
        <f>VLOOKUP(A521,[3]RESUMEN!$A:$AH,34,1)</f>
        <v>0.63225874980213281</v>
      </c>
      <c r="N521" s="113">
        <f>VLOOKUP(A521,[3]RESUMEN!$A:$AI,35,1)</f>
        <v>0.58995465197052765</v>
      </c>
    </row>
    <row r="522" spans="1:14" x14ac:dyDescent="0.25">
      <c r="A522" s="102">
        <v>41285</v>
      </c>
      <c r="B522">
        <v>27.986999999999998</v>
      </c>
      <c r="C522">
        <v>41.944000000000003</v>
      </c>
      <c r="D522">
        <v>59.280999999999999</v>
      </c>
      <c r="E522">
        <v>96.33</v>
      </c>
      <c r="F522">
        <v>0.14000000000000001</v>
      </c>
      <c r="G522">
        <v>0.13100000000000001</v>
      </c>
      <c r="H522">
        <v>0.17399999999999999</v>
      </c>
      <c r="I522">
        <v>0.28299999999999997</v>
      </c>
      <c r="J522">
        <v>0.65749999999999997</v>
      </c>
      <c r="K522">
        <v>6.2658729745843633E-2</v>
      </c>
      <c r="L522" s="112">
        <f>VLOOKUP(A522,[3]RESUMEN!$A:$AE,31,1)</f>
        <v>0.5476505541389225</v>
      </c>
      <c r="M522" s="113">
        <f>VLOOKUP(A522,[3]RESUMEN!$A:$AH,34,1)</f>
        <v>0.63225874980213281</v>
      </c>
      <c r="N522" s="113">
        <f>VLOOKUP(A522,[3]RESUMEN!$A:$AI,35,1)</f>
        <v>0.58995465197052765</v>
      </c>
    </row>
    <row r="523" spans="1:14" x14ac:dyDescent="0.25">
      <c r="A523" s="102">
        <v>41292</v>
      </c>
      <c r="B523">
        <v>26.765000000000001</v>
      </c>
      <c r="C523">
        <v>39.209000000000003</v>
      </c>
      <c r="D523">
        <v>56.317999999999998</v>
      </c>
      <c r="E523">
        <v>92.843999999999994</v>
      </c>
      <c r="F523">
        <v>0.14000000000000001</v>
      </c>
      <c r="G523">
        <v>0.13450000000000001</v>
      </c>
      <c r="H523">
        <v>0.17949999999999999</v>
      </c>
      <c r="I523">
        <v>0.28100000000000003</v>
      </c>
      <c r="J523">
        <v>0.64900000000000002</v>
      </c>
      <c r="K523">
        <v>6.0459743376823138E-2</v>
      </c>
      <c r="L523" s="112">
        <f>VLOOKUP(A523,[3]RESUMEN!$A:$AE,31,1)</f>
        <v>0.5476505541389225</v>
      </c>
      <c r="M523" s="113">
        <f>VLOOKUP(A523,[3]RESUMEN!$A:$AH,34,1)</f>
        <v>0.63225874980213281</v>
      </c>
      <c r="N523" s="113">
        <f>VLOOKUP(A523,[3]RESUMEN!$A:$AI,35,1)</f>
        <v>0.58995465197052765</v>
      </c>
    </row>
    <row r="524" spans="1:14" x14ac:dyDescent="0.25">
      <c r="A524" s="102">
        <v>41299</v>
      </c>
      <c r="B524">
        <v>25.46</v>
      </c>
      <c r="C524">
        <v>37.802999999999997</v>
      </c>
      <c r="D524">
        <v>54.764000000000003</v>
      </c>
      <c r="E524">
        <v>90.111000000000004</v>
      </c>
      <c r="F524">
        <v>0.14000000000000001</v>
      </c>
      <c r="G524">
        <v>0.14899999999999999</v>
      </c>
      <c r="H524">
        <v>0.20799999999999999</v>
      </c>
      <c r="I524">
        <v>0.32700000000000001</v>
      </c>
      <c r="J524">
        <v>0.73799999999999999</v>
      </c>
      <c r="K524">
        <v>5.8721461614779535E-2</v>
      </c>
      <c r="L524" s="112">
        <f>VLOOKUP(A524,[3]RESUMEN!$A:$AE,31,1)</f>
        <v>0.5476505541389225</v>
      </c>
      <c r="M524" s="113">
        <f>VLOOKUP(A524,[3]RESUMEN!$A:$AH,34,1)</f>
        <v>0.63225874980213281</v>
      </c>
      <c r="N524" s="113">
        <f>VLOOKUP(A524,[3]RESUMEN!$A:$AI,35,1)</f>
        <v>0.58995465197052765</v>
      </c>
    </row>
    <row r="525" spans="1:14" x14ac:dyDescent="0.25">
      <c r="A525" s="102">
        <v>41306</v>
      </c>
      <c r="B525">
        <v>29.35</v>
      </c>
      <c r="C525">
        <v>44.12</v>
      </c>
      <c r="D525">
        <v>60.322000000000003</v>
      </c>
      <c r="E525">
        <v>97.096000000000004</v>
      </c>
      <c r="F525">
        <v>0.14000000000000001</v>
      </c>
      <c r="G525">
        <v>0.14000000000000001</v>
      </c>
      <c r="H525">
        <v>0.19900000000000001</v>
      </c>
      <c r="I525">
        <v>0.32600000000000001</v>
      </c>
      <c r="J525">
        <v>0.77100000000000002</v>
      </c>
      <c r="K525">
        <v>6.3128715073066499E-2</v>
      </c>
      <c r="L525" s="112">
        <f>VLOOKUP(A525,[3]RESUMEN!$A:$AE,31,1)</f>
        <v>0.5476505541389225</v>
      </c>
      <c r="M525" s="113">
        <f>VLOOKUP(A525,[3]RESUMEN!$A:$AH,34,1)</f>
        <v>0.63225874980213281</v>
      </c>
      <c r="N525" s="113">
        <f>VLOOKUP(A525,[3]RESUMEN!$A:$AI,35,1)</f>
        <v>0.58995465197052765</v>
      </c>
    </row>
    <row r="526" spans="1:14" x14ac:dyDescent="0.25">
      <c r="A526" s="102">
        <v>41313</v>
      </c>
      <c r="B526">
        <v>29.960999999999999</v>
      </c>
      <c r="C526">
        <v>44.767000000000003</v>
      </c>
      <c r="D526">
        <v>60.984000000000002</v>
      </c>
      <c r="E526">
        <v>97.403999999999996</v>
      </c>
      <c r="F526">
        <v>0.14000000000000001</v>
      </c>
      <c r="G526">
        <v>0.13800000000000001</v>
      </c>
      <c r="H526">
        <v>0.188</v>
      </c>
      <c r="I526">
        <v>0.3</v>
      </c>
      <c r="J526">
        <v>0.71599999999999997</v>
      </c>
      <c r="K526">
        <v>6.3128715073066499E-2</v>
      </c>
      <c r="L526" s="112">
        <f>VLOOKUP(A526,[3]RESUMEN!$A:$AE,31,1)</f>
        <v>0.5476505541389225</v>
      </c>
      <c r="M526" s="113">
        <f>VLOOKUP(A526,[3]RESUMEN!$A:$AH,34,1)</f>
        <v>0.63225874980213281</v>
      </c>
      <c r="N526" s="113">
        <f>VLOOKUP(A526,[3]RESUMEN!$A:$AI,35,1)</f>
        <v>0.58995465197052765</v>
      </c>
    </row>
    <row r="527" spans="1:14" x14ac:dyDescent="0.25">
      <c r="A527" s="102">
        <v>41320</v>
      </c>
      <c r="B527">
        <v>30.47</v>
      </c>
      <c r="C527">
        <v>45.332000000000001</v>
      </c>
      <c r="D527">
        <v>61.579000000000001</v>
      </c>
      <c r="E527">
        <v>98.067999999999998</v>
      </c>
      <c r="F527">
        <v>0.16</v>
      </c>
      <c r="G527">
        <v>0.14799999999999999</v>
      </c>
      <c r="H527">
        <v>0.21199999999999999</v>
      </c>
      <c r="I527">
        <v>0.33100000000000002</v>
      </c>
      <c r="J527">
        <v>0.75900000000000001</v>
      </c>
      <c r="K527">
        <v>6.3128715073066499E-2</v>
      </c>
      <c r="L527" s="112">
        <f>VLOOKUP(A527,[3]RESUMEN!$A:$AE,31,1)</f>
        <v>0.5476505541389225</v>
      </c>
      <c r="M527" s="113">
        <f>VLOOKUP(A527,[3]RESUMEN!$A:$AH,34,1)</f>
        <v>0.63225874980213281</v>
      </c>
      <c r="N527" s="113">
        <f>VLOOKUP(A527,[3]RESUMEN!$A:$AI,35,1)</f>
        <v>0.58995465197052765</v>
      </c>
    </row>
    <row r="528" spans="1:14" x14ac:dyDescent="0.25">
      <c r="A528" s="102">
        <v>41327</v>
      </c>
      <c r="B528">
        <v>32.874000000000002</v>
      </c>
      <c r="C528">
        <v>47.034999999999997</v>
      </c>
      <c r="D528">
        <v>63.286000000000001</v>
      </c>
      <c r="E528">
        <v>100.087</v>
      </c>
      <c r="F528">
        <v>0.16</v>
      </c>
      <c r="G528">
        <v>0.14299999999999999</v>
      </c>
      <c r="H528">
        <v>0.192</v>
      </c>
      <c r="I528">
        <v>0.30399999999999999</v>
      </c>
      <c r="J528">
        <v>0.72599999999999998</v>
      </c>
      <c r="K528">
        <v>6.5004115201451884E-2</v>
      </c>
      <c r="L528" s="112">
        <f>VLOOKUP(A528,[3]RESUMEN!$A:$AE,31,1)</f>
        <v>0.5476505541389225</v>
      </c>
      <c r="M528" s="113">
        <f>VLOOKUP(A528,[3]RESUMEN!$A:$AH,34,1)</f>
        <v>0.63225874980213281</v>
      </c>
      <c r="N528" s="113">
        <f>VLOOKUP(A528,[3]RESUMEN!$A:$AI,35,1)</f>
        <v>0.58995465197052765</v>
      </c>
    </row>
    <row r="529" spans="1:14" x14ac:dyDescent="0.25">
      <c r="A529" s="102">
        <v>41334</v>
      </c>
      <c r="B529">
        <v>32.725000000000001</v>
      </c>
      <c r="C529">
        <v>48.847000000000001</v>
      </c>
      <c r="D529">
        <v>65.575999999999993</v>
      </c>
      <c r="E529">
        <v>100.33499999999999</v>
      </c>
      <c r="F529">
        <v>0.14000000000000001</v>
      </c>
      <c r="G529">
        <v>0.13700000000000001</v>
      </c>
      <c r="H529">
        <v>0.16900000000000001</v>
      </c>
      <c r="I529">
        <v>0.26400000000000001</v>
      </c>
      <c r="J529">
        <v>0.64400000000000002</v>
      </c>
      <c r="K529">
        <v>6.5004115201451884E-2</v>
      </c>
      <c r="L529" s="112">
        <f>VLOOKUP(A529,[3]RESUMEN!$A:$AE,31,1)</f>
        <v>0.5476505541389225</v>
      </c>
      <c r="M529" s="113">
        <f>VLOOKUP(A529,[3]RESUMEN!$A:$AH,34,1)</f>
        <v>0.63225874980213281</v>
      </c>
      <c r="N529" s="113">
        <f>VLOOKUP(A529,[3]RESUMEN!$A:$AI,35,1)</f>
        <v>0.58995465197052765</v>
      </c>
    </row>
    <row r="530" spans="1:14" x14ac:dyDescent="0.25">
      <c r="A530" s="102">
        <v>41341</v>
      </c>
      <c r="B530">
        <v>26.762</v>
      </c>
      <c r="C530">
        <v>42.335000000000001</v>
      </c>
      <c r="D530">
        <v>58.530999999999999</v>
      </c>
      <c r="E530">
        <v>94.155000000000001</v>
      </c>
      <c r="F530">
        <v>0.15</v>
      </c>
      <c r="G530">
        <v>0.14199999999999999</v>
      </c>
      <c r="H530">
        <v>0.19400000000000001</v>
      </c>
      <c r="I530">
        <v>0.32400000000000001</v>
      </c>
      <c r="J530">
        <v>0.78100000000000003</v>
      </c>
      <c r="K530">
        <v>6.1272368244360109E-2</v>
      </c>
      <c r="L530" s="112">
        <f>VLOOKUP(A530,[3]RESUMEN!$A:$AE,31,1)</f>
        <v>0.5476505541389225</v>
      </c>
      <c r="M530" s="113">
        <f>VLOOKUP(A530,[3]RESUMEN!$A:$AH,34,1)</f>
        <v>0.63225874980213281</v>
      </c>
      <c r="N530" s="113">
        <f>VLOOKUP(A530,[3]RESUMEN!$A:$AI,35,1)</f>
        <v>0.58995465197052765</v>
      </c>
    </row>
    <row r="531" spans="1:14" x14ac:dyDescent="0.25">
      <c r="A531" s="102">
        <v>41348</v>
      </c>
      <c r="B531">
        <v>27.059000000000001</v>
      </c>
      <c r="C531">
        <v>40.972999999999999</v>
      </c>
      <c r="D531">
        <v>57.082999999999998</v>
      </c>
      <c r="E531">
        <v>90.617999999999995</v>
      </c>
      <c r="F531">
        <v>0.16</v>
      </c>
      <c r="G531">
        <v>0.14199999999999999</v>
      </c>
      <c r="H531">
        <v>0.19</v>
      </c>
      <c r="I531">
        <v>0.30599999999999999</v>
      </c>
      <c r="J531">
        <v>0.73699999999999999</v>
      </c>
      <c r="K531">
        <v>5.9016151014137375E-2</v>
      </c>
      <c r="L531" s="112">
        <f>VLOOKUP(A531,[3]RESUMEN!$A:$AE,31,1)</f>
        <v>0.5476505541389225</v>
      </c>
      <c r="M531" s="113">
        <f>VLOOKUP(A531,[3]RESUMEN!$A:$AH,34,1)</f>
        <v>0.63225874980213281</v>
      </c>
      <c r="N531" s="113">
        <f>VLOOKUP(A531,[3]RESUMEN!$A:$AI,35,1)</f>
        <v>0.58995465197052765</v>
      </c>
    </row>
    <row r="532" spans="1:14" x14ac:dyDescent="0.25">
      <c r="A532" s="102">
        <v>41355</v>
      </c>
      <c r="B532">
        <v>29.19</v>
      </c>
      <c r="C532">
        <v>44.232999999999997</v>
      </c>
      <c r="D532">
        <v>60.723999999999997</v>
      </c>
      <c r="E532">
        <v>95.578000000000003</v>
      </c>
      <c r="F532">
        <v>0.15</v>
      </c>
      <c r="G532">
        <v>0.153</v>
      </c>
      <c r="H532">
        <v>0.19600000000000001</v>
      </c>
      <c r="I532">
        <v>0.30499999999999999</v>
      </c>
      <c r="J532">
        <v>0.71899999999999997</v>
      </c>
      <c r="K532">
        <v>6.2158329789082867E-2</v>
      </c>
      <c r="L532" s="112">
        <f>VLOOKUP(A532,[3]RESUMEN!$A:$AE,31,1)</f>
        <v>0.5476505541389225</v>
      </c>
      <c r="M532" s="113">
        <f>VLOOKUP(A532,[3]RESUMEN!$A:$AH,34,1)</f>
        <v>0.63225874980213281</v>
      </c>
      <c r="N532" s="113">
        <f>VLOOKUP(A532,[3]RESUMEN!$A:$AI,35,1)</f>
        <v>0.58995465197052765</v>
      </c>
    </row>
    <row r="533" spans="1:14" x14ac:dyDescent="0.25">
      <c r="A533" s="102">
        <v>41362</v>
      </c>
      <c r="B533">
        <v>31.535</v>
      </c>
      <c r="C533">
        <v>47.29</v>
      </c>
      <c r="D533">
        <v>63.127000000000002</v>
      </c>
      <c r="E533">
        <v>98.33</v>
      </c>
      <c r="F533">
        <v>0.09</v>
      </c>
      <c r="G533">
        <v>0.14549999999999999</v>
      </c>
      <c r="H533">
        <v>0.18379999999999999</v>
      </c>
      <c r="I533">
        <v>0.28499999999999998</v>
      </c>
      <c r="J533">
        <v>0.67500000000000004</v>
      </c>
      <c r="K533">
        <v>6.3885974244416111E-2</v>
      </c>
      <c r="L533" s="112">
        <f>VLOOKUP(A533,[3]RESUMEN!$A:$AE,31,1)</f>
        <v>0.5476505541389225</v>
      </c>
      <c r="M533" s="113">
        <f>VLOOKUP(A533,[3]RESUMEN!$A:$AH,34,1)</f>
        <v>0.63225874980213281</v>
      </c>
      <c r="N533" s="113">
        <f>VLOOKUP(A533,[3]RESUMEN!$A:$AI,35,1)</f>
        <v>0.58995465197052765</v>
      </c>
    </row>
    <row r="534" spans="1:14" x14ac:dyDescent="0.25">
      <c r="A534" s="102">
        <v>41369</v>
      </c>
      <c r="B534">
        <v>31.169</v>
      </c>
      <c r="C534">
        <v>46.893000000000001</v>
      </c>
      <c r="D534">
        <v>63.28</v>
      </c>
      <c r="E534">
        <v>99.98</v>
      </c>
      <c r="F534">
        <v>0.15</v>
      </c>
      <c r="G534">
        <v>0.13800000000000001</v>
      </c>
      <c r="H534">
        <v>0.17100000000000001</v>
      </c>
      <c r="I534">
        <v>0.25800000000000001</v>
      </c>
      <c r="J534">
        <v>0.61699999999999999</v>
      </c>
      <c r="K534">
        <v>6.4503773933361597E-2</v>
      </c>
      <c r="L534" s="112">
        <f>VLOOKUP(A534,[3]RESUMEN!$A:$AE,31,1)</f>
        <v>0.59950922361818182</v>
      </c>
      <c r="M534" s="113">
        <f>VLOOKUP(A534,[3]RESUMEN!$A:$AH,34,1)</f>
        <v>0.59032525030698535</v>
      </c>
      <c r="N534" s="113">
        <f>VLOOKUP(A534,[3]RESUMEN!$A:$AI,35,1)</f>
        <v>0.59491723696258358</v>
      </c>
    </row>
    <row r="535" spans="1:14" x14ac:dyDescent="0.25">
      <c r="A535" s="102">
        <v>41376</v>
      </c>
      <c r="B535">
        <v>21.2</v>
      </c>
      <c r="C535">
        <v>34.832999999999998</v>
      </c>
      <c r="D535">
        <v>49.832999999999998</v>
      </c>
      <c r="E535">
        <v>85.125</v>
      </c>
      <c r="F535">
        <v>0.15</v>
      </c>
      <c r="G535">
        <v>0.13400000000000001</v>
      </c>
      <c r="H535">
        <v>0.16500000000000001</v>
      </c>
      <c r="I535">
        <v>0.251</v>
      </c>
      <c r="J535">
        <v>0.61299999999999999</v>
      </c>
      <c r="K535">
        <v>5.5570515193356429E-2</v>
      </c>
      <c r="L535" s="112">
        <f>VLOOKUP(A535,[3]RESUMEN!$A:$AE,31,1)</f>
        <v>0.59950922361818182</v>
      </c>
      <c r="M535" s="113">
        <f>VLOOKUP(A535,[3]RESUMEN!$A:$AH,34,1)</f>
        <v>0.59032525030698535</v>
      </c>
      <c r="N535" s="113">
        <f>VLOOKUP(A535,[3]RESUMEN!$A:$AI,35,1)</f>
        <v>0.59491723696258358</v>
      </c>
    </row>
    <row r="536" spans="1:14" x14ac:dyDescent="0.25">
      <c r="A536" s="102">
        <v>41383</v>
      </c>
      <c r="B536">
        <v>26.582999999999998</v>
      </c>
      <c r="C536">
        <v>42.173000000000002</v>
      </c>
      <c r="D536">
        <v>57.918999999999997</v>
      </c>
      <c r="E536">
        <v>92.108000000000004</v>
      </c>
      <c r="F536">
        <v>0.15</v>
      </c>
      <c r="G536">
        <v>0.1363</v>
      </c>
      <c r="H536">
        <v>0.16700000000000001</v>
      </c>
      <c r="I536">
        <v>0.26200000000000001</v>
      </c>
      <c r="J536">
        <v>0.625</v>
      </c>
      <c r="K536">
        <v>5.9966843733094022E-2</v>
      </c>
      <c r="L536" s="112">
        <f>VLOOKUP(A536,[3]RESUMEN!$A:$AE,31,1)</f>
        <v>0.59950922361818182</v>
      </c>
      <c r="M536" s="113">
        <f>VLOOKUP(A536,[3]RESUMEN!$A:$AH,34,1)</f>
        <v>0.59032525030698535</v>
      </c>
      <c r="N536" s="113">
        <f>VLOOKUP(A536,[3]RESUMEN!$A:$AI,35,1)</f>
        <v>0.59491723696258358</v>
      </c>
    </row>
    <row r="537" spans="1:14" x14ac:dyDescent="0.25">
      <c r="A537" s="102">
        <v>41390</v>
      </c>
      <c r="B537">
        <v>22.492999999999999</v>
      </c>
      <c r="C537">
        <v>38.438000000000002</v>
      </c>
      <c r="D537">
        <v>52.616</v>
      </c>
      <c r="E537">
        <v>85.832999999999998</v>
      </c>
      <c r="F537">
        <v>0.13</v>
      </c>
      <c r="G537">
        <v>0.1305</v>
      </c>
      <c r="H537">
        <v>0.1585</v>
      </c>
      <c r="I537">
        <v>0.24099999999999999</v>
      </c>
      <c r="J537">
        <v>0.59399999999999997</v>
      </c>
      <c r="K537">
        <v>5.5996049355110267E-2</v>
      </c>
      <c r="L537" s="112">
        <f>VLOOKUP(A537,[3]RESUMEN!$A:$AE,31,1)</f>
        <v>0.59950922361818182</v>
      </c>
      <c r="M537" s="113">
        <f>VLOOKUP(A537,[3]RESUMEN!$A:$AH,34,1)</f>
        <v>0.59032525030698535</v>
      </c>
      <c r="N537" s="113">
        <f>VLOOKUP(A537,[3]RESUMEN!$A:$AI,35,1)</f>
        <v>0.59491723696258358</v>
      </c>
    </row>
    <row r="538" spans="1:14" x14ac:dyDescent="0.25">
      <c r="A538" s="102">
        <v>41397</v>
      </c>
      <c r="B538">
        <v>15.228999999999999</v>
      </c>
      <c r="C538">
        <v>29.806999999999999</v>
      </c>
      <c r="D538">
        <v>43.075000000000003</v>
      </c>
      <c r="E538">
        <v>77.894000000000005</v>
      </c>
      <c r="F538">
        <v>0.14000000000000001</v>
      </c>
      <c r="G538">
        <v>0.127</v>
      </c>
      <c r="H538">
        <v>0.16</v>
      </c>
      <c r="I538">
        <v>0.255</v>
      </c>
      <c r="J538">
        <v>0.64200000000000002</v>
      </c>
      <c r="K538">
        <v>5.0977649764151423E-2</v>
      </c>
      <c r="L538" s="112">
        <f>VLOOKUP(A538,[3]RESUMEN!$A:$AE,31,1)</f>
        <v>0.59950922361818182</v>
      </c>
      <c r="M538" s="113">
        <f>VLOOKUP(A538,[3]RESUMEN!$A:$AH,34,1)</f>
        <v>0.59032525030698535</v>
      </c>
      <c r="N538" s="113">
        <f>VLOOKUP(A538,[3]RESUMEN!$A:$AI,35,1)</f>
        <v>0.59491723696258358</v>
      </c>
    </row>
    <row r="539" spans="1:14" x14ac:dyDescent="0.25">
      <c r="A539" s="102">
        <v>41404</v>
      </c>
      <c r="B539">
        <v>14.468</v>
      </c>
      <c r="C539">
        <v>26.471</v>
      </c>
      <c r="D539">
        <v>41.072000000000003</v>
      </c>
      <c r="E539">
        <v>75.825000000000003</v>
      </c>
      <c r="F539">
        <v>0.12</v>
      </c>
      <c r="G539">
        <v>0.13100000000000001</v>
      </c>
      <c r="H539">
        <v>0.17599999999999999</v>
      </c>
      <c r="I539">
        <v>0.29899999999999999</v>
      </c>
      <c r="J539">
        <v>0.73299999999999998</v>
      </c>
      <c r="K539">
        <v>4.9668236153563416E-2</v>
      </c>
      <c r="L539" s="112">
        <f>VLOOKUP(A539,[3]RESUMEN!$A:$AE,31,1)</f>
        <v>0.59950922361818182</v>
      </c>
      <c r="M539" s="113">
        <f>VLOOKUP(A539,[3]RESUMEN!$A:$AH,34,1)</f>
        <v>0.59032525030698535</v>
      </c>
      <c r="N539" s="113">
        <f>VLOOKUP(A539,[3]RESUMEN!$A:$AI,35,1)</f>
        <v>0.59491723696258358</v>
      </c>
    </row>
    <row r="540" spans="1:14" x14ac:dyDescent="0.25">
      <c r="A540" s="102">
        <v>41411</v>
      </c>
      <c r="B540">
        <v>18.297000000000001</v>
      </c>
      <c r="C540">
        <v>30.991</v>
      </c>
      <c r="D540">
        <v>47.994999999999997</v>
      </c>
      <c r="E540">
        <v>84.328000000000003</v>
      </c>
      <c r="F540">
        <v>0.1</v>
      </c>
      <c r="G540">
        <v>0.13400000000000001</v>
      </c>
      <c r="H540">
        <v>0.185</v>
      </c>
      <c r="I540">
        <v>0.309</v>
      </c>
      <c r="J540">
        <v>0.746</v>
      </c>
      <c r="K540">
        <v>5.4978863033797953E-2</v>
      </c>
      <c r="L540" s="112">
        <f>VLOOKUP(A540,[3]RESUMEN!$A:$AE,31,1)</f>
        <v>0.59950922361818182</v>
      </c>
      <c r="M540" s="113">
        <f>VLOOKUP(A540,[3]RESUMEN!$A:$AH,34,1)</f>
        <v>0.59032525030698535</v>
      </c>
      <c r="N540" s="113">
        <f>VLOOKUP(A540,[3]RESUMEN!$A:$AI,35,1)</f>
        <v>0.59491723696258358</v>
      </c>
    </row>
    <row r="541" spans="1:14" x14ac:dyDescent="0.25">
      <c r="A541" s="102">
        <v>41418</v>
      </c>
      <c r="B541">
        <v>24.579000000000001</v>
      </c>
      <c r="C541">
        <v>38.462000000000003</v>
      </c>
      <c r="D541">
        <v>56.2</v>
      </c>
      <c r="E541">
        <v>93.524000000000001</v>
      </c>
      <c r="F541">
        <v>0.09</v>
      </c>
      <c r="G541">
        <v>0.13200000000000001</v>
      </c>
      <c r="H541">
        <v>0.19500000000000001</v>
      </c>
      <c r="I541">
        <v>0.34</v>
      </c>
      <c r="J541">
        <v>0.82099999999999995</v>
      </c>
      <c r="K541">
        <v>6.0838913042908671E-2</v>
      </c>
      <c r="L541" s="112">
        <f>VLOOKUP(A541,[3]RESUMEN!$A:$AE,31,1)</f>
        <v>0.59950922361818182</v>
      </c>
      <c r="M541" s="113">
        <f>VLOOKUP(A541,[3]RESUMEN!$A:$AH,34,1)</f>
        <v>0.59032525030698535</v>
      </c>
      <c r="N541" s="113">
        <f>VLOOKUP(A541,[3]RESUMEN!$A:$AI,35,1)</f>
        <v>0.59491723696258358</v>
      </c>
    </row>
    <row r="542" spans="1:14" x14ac:dyDescent="0.25">
      <c r="A542" s="102">
        <v>41425</v>
      </c>
      <c r="B542">
        <v>36.801000000000002</v>
      </c>
      <c r="C542">
        <v>56.27</v>
      </c>
      <c r="D542">
        <v>71.66</v>
      </c>
      <c r="E542">
        <v>106.473</v>
      </c>
      <c r="F542">
        <v>0.09</v>
      </c>
      <c r="G542">
        <v>0.14599999999999999</v>
      </c>
      <c r="H542">
        <v>0.23100000000000001</v>
      </c>
      <c r="I542">
        <v>0.41699999999999998</v>
      </c>
      <c r="J542">
        <v>0.93200000000000005</v>
      </c>
      <c r="K542">
        <v>6.8966200838676106E-2</v>
      </c>
      <c r="L542" s="112">
        <f>VLOOKUP(A542,[3]RESUMEN!$A:$AE,31,1)</f>
        <v>0.59950922361818182</v>
      </c>
      <c r="M542" s="113">
        <f>VLOOKUP(A542,[3]RESUMEN!$A:$AH,34,1)</f>
        <v>0.59032525030698535</v>
      </c>
      <c r="N542" s="113">
        <f>VLOOKUP(A542,[3]RESUMEN!$A:$AI,35,1)</f>
        <v>0.59491723696258358</v>
      </c>
    </row>
    <row r="543" spans="1:14" x14ac:dyDescent="0.25">
      <c r="A543" s="102">
        <v>41432</v>
      </c>
      <c r="B543">
        <v>52.716999999999999</v>
      </c>
      <c r="C543">
        <v>70.027000000000001</v>
      </c>
      <c r="D543">
        <v>86.09</v>
      </c>
      <c r="E543">
        <v>124.75</v>
      </c>
      <c r="F543">
        <v>0.09</v>
      </c>
      <c r="G543">
        <v>0.14099999999999999</v>
      </c>
      <c r="H543">
        <v>0.2495</v>
      </c>
      <c r="I543">
        <v>0.46</v>
      </c>
      <c r="J543">
        <v>1.012</v>
      </c>
      <c r="K543">
        <v>8.0319690970127589E-2</v>
      </c>
      <c r="L543" s="112">
        <f>VLOOKUP(A543,[3]RESUMEN!$A:$AE,31,1)</f>
        <v>0.59950922361818182</v>
      </c>
      <c r="M543" s="113">
        <f>VLOOKUP(A543,[3]RESUMEN!$A:$AH,34,1)</f>
        <v>0.59032525030698535</v>
      </c>
      <c r="N543" s="113">
        <f>VLOOKUP(A543,[3]RESUMEN!$A:$AI,35,1)</f>
        <v>0.59491723696258358</v>
      </c>
    </row>
    <row r="544" spans="1:14" x14ac:dyDescent="0.25">
      <c r="A544" s="102">
        <v>41439</v>
      </c>
      <c r="B544">
        <v>50.813000000000002</v>
      </c>
      <c r="C544">
        <v>66.358000000000004</v>
      </c>
      <c r="D544">
        <v>82.262</v>
      </c>
      <c r="E544">
        <v>120.47</v>
      </c>
      <c r="F544">
        <v>0.1</v>
      </c>
      <c r="G544">
        <v>0.127</v>
      </c>
      <c r="H544">
        <v>0.21199999999999999</v>
      </c>
      <c r="I544">
        <v>0.40799999999999997</v>
      </c>
      <c r="J544">
        <v>0.94499999999999995</v>
      </c>
      <c r="K544">
        <v>7.7681547625721104E-2</v>
      </c>
      <c r="L544" s="112">
        <f>VLOOKUP(A544,[3]RESUMEN!$A:$AE,31,1)</f>
        <v>0.59950922361818182</v>
      </c>
      <c r="M544" s="113">
        <f>VLOOKUP(A544,[3]RESUMEN!$A:$AH,34,1)</f>
        <v>0.59032525030698535</v>
      </c>
      <c r="N544" s="113">
        <f>VLOOKUP(A544,[3]RESUMEN!$A:$AI,35,1)</f>
        <v>0.59491723696258358</v>
      </c>
    </row>
    <row r="545" spans="1:14" x14ac:dyDescent="0.25">
      <c r="A545" s="102">
        <v>41446</v>
      </c>
      <c r="B545">
        <v>93</v>
      </c>
      <c r="C545">
        <v>111.935</v>
      </c>
      <c r="D545">
        <v>127.137</v>
      </c>
      <c r="E545">
        <v>169.386</v>
      </c>
      <c r="F545">
        <v>0.1</v>
      </c>
      <c r="G545">
        <v>0.16</v>
      </c>
      <c r="H545">
        <v>0.315</v>
      </c>
      <c r="I545">
        <v>0.61499999999999999</v>
      </c>
      <c r="J545">
        <v>1.323</v>
      </c>
      <c r="K545">
        <v>0.10738196487970986</v>
      </c>
      <c r="L545" s="112">
        <f>VLOOKUP(A545,[3]RESUMEN!$A:$AE,31,1)</f>
        <v>0.59950922361818182</v>
      </c>
      <c r="M545" s="113">
        <f>VLOOKUP(A545,[3]RESUMEN!$A:$AH,34,1)</f>
        <v>0.59032525030698535</v>
      </c>
      <c r="N545" s="113">
        <f>VLOOKUP(A545,[3]RESUMEN!$A:$AI,35,1)</f>
        <v>0.59491723696258358</v>
      </c>
    </row>
    <row r="546" spans="1:14" x14ac:dyDescent="0.25">
      <c r="A546" s="102">
        <v>41453</v>
      </c>
      <c r="B546">
        <v>72.614000000000004</v>
      </c>
      <c r="C546">
        <v>89.817999999999998</v>
      </c>
      <c r="D546">
        <v>106.38500000000001</v>
      </c>
      <c r="E546">
        <v>140.995</v>
      </c>
      <c r="F546">
        <v>7.0000000000000007E-2</v>
      </c>
      <c r="G546">
        <v>0.158</v>
      </c>
      <c r="H546">
        <v>0.27900000000000003</v>
      </c>
      <c r="I546">
        <v>0.55800000000000005</v>
      </c>
      <c r="J546">
        <v>1.254</v>
      </c>
      <c r="K546">
        <v>9.018527188536507E-2</v>
      </c>
      <c r="L546" s="112">
        <f>VLOOKUP(A546,[3]RESUMEN!$A:$AE,31,1)</f>
        <v>0.59950922361818182</v>
      </c>
      <c r="M546" s="113">
        <f>VLOOKUP(A546,[3]RESUMEN!$A:$AH,34,1)</f>
        <v>0.59032525030698535</v>
      </c>
      <c r="N546" s="113">
        <f>VLOOKUP(A546,[3]RESUMEN!$A:$AI,35,1)</f>
        <v>0.59491723696258358</v>
      </c>
    </row>
    <row r="547" spans="1:14" x14ac:dyDescent="0.25">
      <c r="A547" s="102">
        <v>41460</v>
      </c>
      <c r="B547">
        <v>83.775000000000006</v>
      </c>
      <c r="C547">
        <v>102.376</v>
      </c>
      <c r="D547">
        <v>119.861</v>
      </c>
      <c r="E547">
        <v>155.25399999999999</v>
      </c>
      <c r="F547">
        <v>0.1</v>
      </c>
      <c r="G547">
        <v>0.16900000000000001</v>
      </c>
      <c r="H547">
        <v>0.33300000000000002</v>
      </c>
      <c r="I547">
        <v>0.66500000000000004</v>
      </c>
      <c r="J547">
        <v>1.4889999999999999</v>
      </c>
      <c r="K547">
        <v>9.8835212916616566E-2</v>
      </c>
      <c r="L547" s="112">
        <f>VLOOKUP(A547,[3]RESUMEN!$A:$AE,31,1)</f>
        <v>0.51393563137235465</v>
      </c>
      <c r="M547" s="113">
        <f>VLOOKUP(A547,[3]RESUMEN!$A:$AH,34,1)</f>
        <v>0.20541505673939836</v>
      </c>
      <c r="N547" s="113">
        <f>VLOOKUP(A547,[3]RESUMEN!$A:$AI,35,1)</f>
        <v>0.35967534405587653</v>
      </c>
    </row>
    <row r="548" spans="1:14" x14ac:dyDescent="0.25">
      <c r="A548" s="102">
        <v>41467</v>
      </c>
      <c r="B548">
        <v>65.554000000000002</v>
      </c>
      <c r="C548">
        <v>83.69</v>
      </c>
      <c r="D548">
        <v>99.07</v>
      </c>
      <c r="E548">
        <v>135.83199999999999</v>
      </c>
      <c r="F548">
        <v>0.09</v>
      </c>
      <c r="G548">
        <v>0.1535</v>
      </c>
      <c r="H548">
        <v>0.29199999999999998</v>
      </c>
      <c r="I548">
        <v>0.57399999999999995</v>
      </c>
      <c r="J548">
        <v>1.3029999999999999</v>
      </c>
      <c r="K548">
        <v>8.7083530973972034E-2</v>
      </c>
      <c r="L548" s="112">
        <f>VLOOKUP(A548,[3]RESUMEN!$A:$AE,31,1)</f>
        <v>0.51393563137235465</v>
      </c>
      <c r="M548" s="113">
        <f>VLOOKUP(A548,[3]RESUMEN!$A:$AH,34,1)</f>
        <v>0.20541505673939836</v>
      </c>
      <c r="N548" s="113">
        <f>VLOOKUP(A548,[3]RESUMEN!$A:$AI,35,1)</f>
        <v>0.35967534405587653</v>
      </c>
    </row>
    <row r="549" spans="1:14" x14ac:dyDescent="0.25">
      <c r="A549" s="102">
        <v>41474</v>
      </c>
      <c r="B549">
        <v>49.070999999999998</v>
      </c>
      <c r="C549">
        <v>68.86</v>
      </c>
      <c r="D549">
        <v>84.495000000000005</v>
      </c>
      <c r="E549">
        <v>119.21299999999999</v>
      </c>
      <c r="F549">
        <v>0.09</v>
      </c>
      <c r="G549">
        <v>0.14000000000000001</v>
      </c>
      <c r="H549">
        <v>0.248</v>
      </c>
      <c r="I549">
        <v>0.4975</v>
      </c>
      <c r="J549">
        <v>1.1839999999999999</v>
      </c>
      <c r="K549">
        <v>7.6863784486084663E-2</v>
      </c>
      <c r="L549" s="112">
        <f>VLOOKUP(A549,[3]RESUMEN!$A:$AE,31,1)</f>
        <v>0.51393563137235465</v>
      </c>
      <c r="M549" s="113">
        <f>VLOOKUP(A549,[3]RESUMEN!$A:$AH,34,1)</f>
        <v>0.20541505673939836</v>
      </c>
      <c r="N549" s="113">
        <f>VLOOKUP(A549,[3]RESUMEN!$A:$AI,35,1)</f>
        <v>0.35967534405587653</v>
      </c>
    </row>
    <row r="550" spans="1:14" x14ac:dyDescent="0.25">
      <c r="A550" s="102">
        <v>41481</v>
      </c>
      <c r="B550">
        <v>59.642000000000003</v>
      </c>
      <c r="C550">
        <v>74.992000000000004</v>
      </c>
      <c r="D550">
        <v>90.537999999999997</v>
      </c>
      <c r="E550">
        <v>127.837</v>
      </c>
      <c r="F550">
        <v>0.09</v>
      </c>
      <c r="G550">
        <v>0.13800000000000001</v>
      </c>
      <c r="H550">
        <v>0.247</v>
      </c>
      <c r="I550">
        <v>0.51</v>
      </c>
      <c r="J550">
        <v>1.2410000000000001</v>
      </c>
      <c r="K550">
        <v>8.2194638609503601E-2</v>
      </c>
      <c r="L550" s="112">
        <f>VLOOKUP(A550,[3]RESUMEN!$A:$AE,31,1)</f>
        <v>0.51393563137235465</v>
      </c>
      <c r="M550" s="113">
        <f>VLOOKUP(A550,[3]RESUMEN!$A:$AH,34,1)</f>
        <v>0.20541505673939836</v>
      </c>
      <c r="N550" s="113">
        <f>VLOOKUP(A550,[3]RESUMEN!$A:$AI,35,1)</f>
        <v>0.35967534405587653</v>
      </c>
    </row>
    <row r="551" spans="1:14" x14ac:dyDescent="0.25">
      <c r="A551" s="102">
        <v>41488</v>
      </c>
      <c r="B551">
        <v>59.823999999999998</v>
      </c>
      <c r="C551">
        <v>74.790999999999997</v>
      </c>
      <c r="D551">
        <v>90.242999999999995</v>
      </c>
      <c r="E551">
        <v>126.675</v>
      </c>
      <c r="F551">
        <v>0.09</v>
      </c>
      <c r="G551">
        <v>0.13100000000000001</v>
      </c>
      <c r="H551">
        <v>0.23899999999999999</v>
      </c>
      <c r="I551">
        <v>0.501</v>
      </c>
      <c r="J551">
        <v>1.2264999999999999</v>
      </c>
      <c r="K551">
        <v>8.1407099855827281E-2</v>
      </c>
      <c r="L551" s="112">
        <f>VLOOKUP(A551,[3]RESUMEN!$A:$AE,31,1)</f>
        <v>0.51393563137235465</v>
      </c>
      <c r="M551" s="113">
        <f>VLOOKUP(A551,[3]RESUMEN!$A:$AH,34,1)</f>
        <v>0.20541505673939836</v>
      </c>
      <c r="N551" s="113">
        <f>VLOOKUP(A551,[3]RESUMEN!$A:$AI,35,1)</f>
        <v>0.35967534405587653</v>
      </c>
    </row>
    <row r="552" spans="1:14" x14ac:dyDescent="0.25">
      <c r="A552" s="102">
        <v>41495</v>
      </c>
      <c r="B552">
        <v>58.735999999999997</v>
      </c>
      <c r="C552">
        <v>73.989999999999995</v>
      </c>
      <c r="D552">
        <v>89.555999999999997</v>
      </c>
      <c r="E552">
        <v>126.729</v>
      </c>
      <c r="F552">
        <v>0.08</v>
      </c>
      <c r="G552">
        <v>0.13200000000000001</v>
      </c>
      <c r="H552">
        <v>0.2455</v>
      </c>
      <c r="I552">
        <v>0.51</v>
      </c>
      <c r="J552">
        <v>1.2190000000000001</v>
      </c>
      <c r="K552">
        <v>8.1407099855827281E-2</v>
      </c>
      <c r="L552" s="112">
        <f>VLOOKUP(A552,[3]RESUMEN!$A:$AE,31,1)</f>
        <v>0.51393563137235465</v>
      </c>
      <c r="M552" s="113">
        <f>VLOOKUP(A552,[3]RESUMEN!$A:$AH,34,1)</f>
        <v>0.20541505673939836</v>
      </c>
      <c r="N552" s="113">
        <f>VLOOKUP(A552,[3]RESUMEN!$A:$AI,35,1)</f>
        <v>0.35967534405587653</v>
      </c>
    </row>
    <row r="553" spans="1:14" x14ac:dyDescent="0.25">
      <c r="A553" s="102">
        <v>41502</v>
      </c>
      <c r="B553">
        <v>60.213000000000001</v>
      </c>
      <c r="C553">
        <v>75.971000000000004</v>
      </c>
      <c r="D553">
        <v>92.272000000000006</v>
      </c>
      <c r="E553">
        <v>130.44200000000001</v>
      </c>
      <c r="F553">
        <v>0.09</v>
      </c>
      <c r="G553">
        <v>0.1396</v>
      </c>
      <c r="H553">
        <v>0.29199999999999998</v>
      </c>
      <c r="I553">
        <v>0.63500000000000001</v>
      </c>
      <c r="J553">
        <v>1.4350000000000001</v>
      </c>
      <c r="K553">
        <v>8.3824868360355742E-2</v>
      </c>
      <c r="L553" s="112">
        <f>VLOOKUP(A553,[3]RESUMEN!$A:$AE,31,1)</f>
        <v>0.51393563137235465</v>
      </c>
      <c r="M553" s="113">
        <f>VLOOKUP(A553,[3]RESUMEN!$A:$AH,34,1)</f>
        <v>0.20541505673939836</v>
      </c>
      <c r="N553" s="113">
        <f>VLOOKUP(A553,[3]RESUMEN!$A:$AI,35,1)</f>
        <v>0.35967534405587653</v>
      </c>
    </row>
    <row r="554" spans="1:14" x14ac:dyDescent="0.25">
      <c r="A554" s="102">
        <v>41509</v>
      </c>
      <c r="B554">
        <v>62.494999999999997</v>
      </c>
      <c r="C554">
        <v>78.233000000000004</v>
      </c>
      <c r="D554">
        <v>94.018000000000001</v>
      </c>
      <c r="E554">
        <v>130.625</v>
      </c>
      <c r="F554">
        <v>0.08</v>
      </c>
      <c r="G554">
        <v>0.1515</v>
      </c>
      <c r="H554">
        <v>0.32700000000000001</v>
      </c>
      <c r="I554">
        <v>0.69299999999999995</v>
      </c>
      <c r="J554">
        <v>1.49</v>
      </c>
      <c r="K554">
        <v>8.3824868360355742E-2</v>
      </c>
      <c r="L554" s="112">
        <f>VLOOKUP(A554,[3]RESUMEN!$A:$AE,31,1)</f>
        <v>0.51393563137235465</v>
      </c>
      <c r="M554" s="113">
        <f>VLOOKUP(A554,[3]RESUMEN!$A:$AH,34,1)</f>
        <v>0.20541505673939836</v>
      </c>
      <c r="N554" s="113">
        <f>VLOOKUP(A554,[3]RESUMEN!$A:$AI,35,1)</f>
        <v>0.35967534405587653</v>
      </c>
    </row>
    <row r="555" spans="1:14" x14ac:dyDescent="0.25">
      <c r="A555" s="102">
        <v>41516</v>
      </c>
      <c r="B555">
        <v>67.116</v>
      </c>
      <c r="C555">
        <v>83.58</v>
      </c>
      <c r="D555">
        <v>100.101</v>
      </c>
      <c r="E555">
        <v>138.655</v>
      </c>
      <c r="F555">
        <v>7.0000000000000007E-2</v>
      </c>
      <c r="G555">
        <v>0.15049999999999999</v>
      </c>
      <c r="H555">
        <v>0.34</v>
      </c>
      <c r="I555">
        <v>0.70699999999999996</v>
      </c>
      <c r="J555">
        <v>1.5</v>
      </c>
      <c r="K555">
        <v>8.8833540508091113E-2</v>
      </c>
      <c r="L555" s="112">
        <f>VLOOKUP(A555,[3]RESUMEN!$A:$AE,31,1)</f>
        <v>0.51393563137235465</v>
      </c>
      <c r="M555" s="113">
        <f>VLOOKUP(A555,[3]RESUMEN!$A:$AH,34,1)</f>
        <v>0.20541505673939836</v>
      </c>
      <c r="N555" s="113">
        <f>VLOOKUP(A555,[3]RESUMEN!$A:$AI,35,1)</f>
        <v>0.35967534405587653</v>
      </c>
    </row>
    <row r="556" spans="1:14" x14ac:dyDescent="0.25">
      <c r="A556" s="102">
        <v>41523</v>
      </c>
      <c r="B556">
        <v>62.79</v>
      </c>
      <c r="C556">
        <v>81.019000000000005</v>
      </c>
      <c r="D556">
        <v>96.981999999999999</v>
      </c>
      <c r="E556">
        <v>134.33500000000001</v>
      </c>
      <c r="F556">
        <v>0.08</v>
      </c>
      <c r="G556">
        <v>0.152</v>
      </c>
      <c r="H556">
        <v>0.39500000000000002</v>
      </c>
      <c r="I556">
        <v>0.79700000000000004</v>
      </c>
      <c r="J556">
        <v>1.613</v>
      </c>
      <c r="K556">
        <v>8.6183985152389564E-2</v>
      </c>
      <c r="L556" s="112">
        <f>VLOOKUP(A556,[3]RESUMEN!$A:$AE,31,1)</f>
        <v>0.51393563137235465</v>
      </c>
      <c r="M556" s="113">
        <f>VLOOKUP(A556,[3]RESUMEN!$A:$AH,34,1)</f>
        <v>0.20541505673939836</v>
      </c>
      <c r="N556" s="113">
        <f>VLOOKUP(A556,[3]RESUMEN!$A:$AI,35,1)</f>
        <v>0.35967534405587653</v>
      </c>
    </row>
    <row r="557" spans="1:14" x14ac:dyDescent="0.25">
      <c r="A557" s="102">
        <v>41530</v>
      </c>
      <c r="B557">
        <v>53.521000000000001</v>
      </c>
      <c r="C557">
        <v>68.551000000000002</v>
      </c>
      <c r="D557">
        <v>84.298000000000002</v>
      </c>
      <c r="E557">
        <v>121.114</v>
      </c>
      <c r="F557">
        <v>0.08</v>
      </c>
      <c r="G557">
        <v>0.14649999999999999</v>
      </c>
      <c r="H557">
        <v>0.36799999999999999</v>
      </c>
      <c r="I557">
        <v>0.75700000000000001</v>
      </c>
      <c r="J557">
        <v>1.5640000000000001</v>
      </c>
      <c r="K557">
        <v>7.8047644267228433E-2</v>
      </c>
      <c r="L557" s="112">
        <f>VLOOKUP(A557,[3]RESUMEN!$A:$AE,31,1)</f>
        <v>0.51393563137235465</v>
      </c>
      <c r="M557" s="113">
        <f>VLOOKUP(A557,[3]RESUMEN!$A:$AH,34,1)</f>
        <v>0.20541505673939836</v>
      </c>
      <c r="N557" s="113">
        <f>VLOOKUP(A557,[3]RESUMEN!$A:$AI,35,1)</f>
        <v>0.35967534405587653</v>
      </c>
    </row>
    <row r="558" spans="1:14" x14ac:dyDescent="0.25">
      <c r="A558" s="102">
        <v>41537</v>
      </c>
      <c r="B558">
        <v>45.015999999999998</v>
      </c>
      <c r="C558">
        <v>59.546999999999997</v>
      </c>
      <c r="D558">
        <v>75.941000000000003</v>
      </c>
      <c r="E558">
        <v>113.102</v>
      </c>
      <c r="F558">
        <v>0.08</v>
      </c>
      <c r="G558">
        <v>0.13200000000000001</v>
      </c>
      <c r="H558">
        <v>0.27100000000000002</v>
      </c>
      <c r="I558">
        <v>0.58599999999999997</v>
      </c>
      <c r="J558">
        <v>1.3620000000000001</v>
      </c>
      <c r="K558">
        <v>7.3110483714588059E-2</v>
      </c>
      <c r="L558" s="112">
        <f>VLOOKUP(A558,[3]RESUMEN!$A:$AE,31,1)</f>
        <v>0.51393563137235465</v>
      </c>
      <c r="M558" s="113">
        <f>VLOOKUP(A558,[3]RESUMEN!$A:$AH,34,1)</f>
        <v>0.20541505673939836</v>
      </c>
      <c r="N558" s="113">
        <f>VLOOKUP(A558,[3]RESUMEN!$A:$AI,35,1)</f>
        <v>0.35967534405587653</v>
      </c>
    </row>
    <row r="559" spans="1:14" x14ac:dyDescent="0.25">
      <c r="A559" s="102">
        <v>41544</v>
      </c>
      <c r="B559">
        <v>60.954999999999998</v>
      </c>
      <c r="C559">
        <v>76.611999999999995</v>
      </c>
      <c r="D559">
        <v>92.997</v>
      </c>
      <c r="E559">
        <v>132.304</v>
      </c>
      <c r="F559">
        <v>0.08</v>
      </c>
      <c r="G559">
        <v>0.13189999999999999</v>
      </c>
      <c r="H559">
        <v>0.25</v>
      </c>
      <c r="I559">
        <v>0.52900000000000003</v>
      </c>
      <c r="J559">
        <v>1.2530000000000001</v>
      </c>
      <c r="K559">
        <v>8.4960863915358509E-2</v>
      </c>
      <c r="L559" s="112">
        <f>VLOOKUP(A559,[3]RESUMEN!$A:$AE,31,1)</f>
        <v>0.51393563137235465</v>
      </c>
      <c r="M559" s="113">
        <f>VLOOKUP(A559,[3]RESUMEN!$A:$AH,34,1)</f>
        <v>0.20541505673939836</v>
      </c>
      <c r="N559" s="113">
        <f>VLOOKUP(A559,[3]RESUMEN!$A:$AI,35,1)</f>
        <v>0.35967534405587653</v>
      </c>
    </row>
    <row r="560" spans="1:14" x14ac:dyDescent="0.25">
      <c r="A560" s="102">
        <v>41551</v>
      </c>
      <c r="B560">
        <v>59.857999999999997</v>
      </c>
      <c r="C560">
        <v>75.084999999999994</v>
      </c>
      <c r="D560">
        <v>91.355000000000004</v>
      </c>
      <c r="E560">
        <v>129.17500000000001</v>
      </c>
      <c r="F560">
        <v>0.08</v>
      </c>
      <c r="G560">
        <v>0.128</v>
      </c>
      <c r="H560">
        <v>0.23400000000000001</v>
      </c>
      <c r="I560">
        <v>0.51600000000000001</v>
      </c>
      <c r="J560">
        <v>1.258</v>
      </c>
      <c r="K560">
        <v>8.3021244446515041E-2</v>
      </c>
      <c r="L560" s="112">
        <f>VLOOKUP(A560,[3]RESUMEN!$A:$AE,31,1)</f>
        <v>0.46672649182491821</v>
      </c>
      <c r="M560" s="113">
        <f>VLOOKUP(A560,[3]RESUMEN!$A:$AH,34,1)</f>
        <v>0.30399318289224542</v>
      </c>
      <c r="N560" s="113">
        <f>VLOOKUP(A560,[3]RESUMEN!$A:$AI,35,1)</f>
        <v>0.38535983735858181</v>
      </c>
    </row>
    <row r="561" spans="1:14" x14ac:dyDescent="0.25">
      <c r="A561" s="102">
        <v>41558</v>
      </c>
      <c r="B561">
        <v>53.018000000000001</v>
      </c>
      <c r="C561">
        <v>67.956999999999994</v>
      </c>
      <c r="D561">
        <v>83.352999999999994</v>
      </c>
      <c r="E561">
        <v>121.36</v>
      </c>
      <c r="F561">
        <v>0.1</v>
      </c>
      <c r="G561">
        <v>0.13300000000000001</v>
      </c>
      <c r="H561">
        <v>0.245</v>
      </c>
      <c r="I561">
        <v>0.51</v>
      </c>
      <c r="J561">
        <v>1.258</v>
      </c>
      <c r="K561">
        <v>7.8219942326972158E-2</v>
      </c>
      <c r="L561" s="112">
        <f>VLOOKUP(A561,[3]RESUMEN!$A:$AE,31,1)</f>
        <v>0.46672649182491821</v>
      </c>
      <c r="M561" s="113">
        <f>VLOOKUP(A561,[3]RESUMEN!$A:$AH,34,1)</f>
        <v>0.30399318289224542</v>
      </c>
      <c r="N561" s="113">
        <f>VLOOKUP(A561,[3]RESUMEN!$A:$AI,35,1)</f>
        <v>0.38535983735858181</v>
      </c>
    </row>
    <row r="562" spans="1:14" x14ac:dyDescent="0.25">
      <c r="A562" s="102">
        <v>41565</v>
      </c>
      <c r="B562">
        <v>51.363</v>
      </c>
      <c r="C562">
        <v>66.421999999999997</v>
      </c>
      <c r="D562">
        <v>81.784999999999997</v>
      </c>
      <c r="E562">
        <v>118.998</v>
      </c>
      <c r="F562">
        <v>0.1</v>
      </c>
      <c r="G562">
        <v>0.124</v>
      </c>
      <c r="H562">
        <v>0.23200000000000001</v>
      </c>
      <c r="I562">
        <v>0.48299999999999998</v>
      </c>
      <c r="J562">
        <v>1.2004999999999999</v>
      </c>
      <c r="K562">
        <v>7.6748064044770192E-2</v>
      </c>
      <c r="L562" s="112">
        <f>VLOOKUP(A562,[3]RESUMEN!$A:$AE,31,1)</f>
        <v>0.46672649182491821</v>
      </c>
      <c r="M562" s="113">
        <f>VLOOKUP(A562,[3]RESUMEN!$A:$AH,34,1)</f>
        <v>0.30399318289224542</v>
      </c>
      <c r="N562" s="113">
        <f>VLOOKUP(A562,[3]RESUMEN!$A:$AI,35,1)</f>
        <v>0.38535983735858181</v>
      </c>
    </row>
    <row r="563" spans="1:14" x14ac:dyDescent="0.25">
      <c r="A563" s="102">
        <v>41572</v>
      </c>
      <c r="B563">
        <v>54.875</v>
      </c>
      <c r="C563">
        <v>70.206000000000003</v>
      </c>
      <c r="D563">
        <v>85.927999999999997</v>
      </c>
      <c r="E563">
        <v>124.5</v>
      </c>
      <c r="F563">
        <v>0.08</v>
      </c>
      <c r="G563">
        <v>0.11799999999999999</v>
      </c>
      <c r="H563">
        <v>0.222</v>
      </c>
      <c r="I563">
        <v>0.46</v>
      </c>
      <c r="J563">
        <v>1.149</v>
      </c>
      <c r="K563">
        <v>8.016627837842405E-2</v>
      </c>
      <c r="L563" s="112">
        <f>VLOOKUP(A563,[3]RESUMEN!$A:$AE,31,1)</f>
        <v>0.46672649182491821</v>
      </c>
      <c r="M563" s="113">
        <f>VLOOKUP(A563,[3]RESUMEN!$A:$AH,34,1)</f>
        <v>0.30399318289224542</v>
      </c>
      <c r="N563" s="113">
        <f>VLOOKUP(A563,[3]RESUMEN!$A:$AI,35,1)</f>
        <v>0.38535983735858181</v>
      </c>
    </row>
    <row r="564" spans="1:14" x14ac:dyDescent="0.25">
      <c r="A564" s="102">
        <v>41579</v>
      </c>
      <c r="B564">
        <v>56.253</v>
      </c>
      <c r="C564">
        <v>71.954999999999998</v>
      </c>
      <c r="D564">
        <v>88.111000000000004</v>
      </c>
      <c r="E564">
        <v>127.248</v>
      </c>
      <c r="F564">
        <v>0.08</v>
      </c>
      <c r="G564">
        <v>0.114</v>
      </c>
      <c r="H564">
        <v>0.221</v>
      </c>
      <c r="I564">
        <v>0.48</v>
      </c>
      <c r="J564">
        <v>1.2164999999999999</v>
      </c>
      <c r="K564">
        <v>8.1868523918152469E-2</v>
      </c>
      <c r="L564" s="112">
        <f>VLOOKUP(A564,[3]RESUMEN!$A:$AE,31,1)</f>
        <v>0.46672649182491821</v>
      </c>
      <c r="M564" s="113">
        <f>VLOOKUP(A564,[3]RESUMEN!$A:$AH,34,1)</f>
        <v>0.30399318289224542</v>
      </c>
      <c r="N564" s="113">
        <f>VLOOKUP(A564,[3]RESUMEN!$A:$AI,35,1)</f>
        <v>0.38535983735858181</v>
      </c>
    </row>
    <row r="565" spans="1:14" x14ac:dyDescent="0.25">
      <c r="A565" s="102">
        <v>41586</v>
      </c>
      <c r="B565">
        <v>58.261000000000003</v>
      </c>
      <c r="C565">
        <v>75.054000000000002</v>
      </c>
      <c r="D565">
        <v>91.736999999999995</v>
      </c>
      <c r="E565">
        <v>131.47200000000001</v>
      </c>
      <c r="F565">
        <v>0.08</v>
      </c>
      <c r="G565">
        <v>0.1095</v>
      </c>
      <c r="H565">
        <v>0.216</v>
      </c>
      <c r="I565">
        <v>0.46899999999999997</v>
      </c>
      <c r="J565">
        <v>1.2490000000000001</v>
      </c>
      <c r="K565">
        <v>8.4469413677979999E-2</v>
      </c>
      <c r="L565" s="112">
        <f>VLOOKUP(A565,[3]RESUMEN!$A:$AE,31,1)</f>
        <v>0.46672649182491821</v>
      </c>
      <c r="M565" s="113">
        <f>VLOOKUP(A565,[3]RESUMEN!$A:$AH,34,1)</f>
        <v>0.30399318289224542</v>
      </c>
      <c r="N565" s="113">
        <f>VLOOKUP(A565,[3]RESUMEN!$A:$AI,35,1)</f>
        <v>0.38535983735858181</v>
      </c>
    </row>
    <row r="566" spans="1:14" x14ac:dyDescent="0.25">
      <c r="A566" s="102">
        <v>41593</v>
      </c>
      <c r="B566">
        <v>54.023000000000003</v>
      </c>
      <c r="C566">
        <v>70.072999999999993</v>
      </c>
      <c r="D566">
        <v>84.878</v>
      </c>
      <c r="E566">
        <v>124.39400000000001</v>
      </c>
      <c r="F566">
        <v>0.09</v>
      </c>
      <c r="G566">
        <v>0.10199999999999999</v>
      </c>
      <c r="H566">
        <v>0.193</v>
      </c>
      <c r="I566">
        <v>0.42499999999999999</v>
      </c>
      <c r="J566">
        <v>1.165</v>
      </c>
      <c r="K566">
        <v>8.0108316407631941E-2</v>
      </c>
      <c r="L566" s="112">
        <f>VLOOKUP(A566,[3]RESUMEN!$A:$AE,31,1)</f>
        <v>0.46672649182491821</v>
      </c>
      <c r="M566" s="113">
        <f>VLOOKUP(A566,[3]RESUMEN!$A:$AH,34,1)</f>
        <v>0.30399318289224542</v>
      </c>
      <c r="N566" s="113">
        <f>VLOOKUP(A566,[3]RESUMEN!$A:$AI,35,1)</f>
        <v>0.38535983735858181</v>
      </c>
    </row>
    <row r="567" spans="1:14" x14ac:dyDescent="0.25">
      <c r="A567" s="102">
        <v>41600</v>
      </c>
      <c r="B567">
        <v>50.033999999999999</v>
      </c>
      <c r="C567">
        <v>68.766000000000005</v>
      </c>
      <c r="D567">
        <v>83.894000000000005</v>
      </c>
      <c r="E567">
        <v>126.333</v>
      </c>
      <c r="F567">
        <v>0.09</v>
      </c>
      <c r="G567">
        <v>9.5000000000000001E-2</v>
      </c>
      <c r="H567">
        <v>0.18099999999999999</v>
      </c>
      <c r="I567">
        <v>0.41599999999999998</v>
      </c>
      <c r="J567">
        <v>1.177</v>
      </c>
      <c r="K567">
        <v>8.0876099402699797E-2</v>
      </c>
      <c r="L567" s="112">
        <f>VLOOKUP(A567,[3]RESUMEN!$A:$AE,31,1)</f>
        <v>0.46672649182491821</v>
      </c>
      <c r="M567" s="113">
        <f>VLOOKUP(A567,[3]RESUMEN!$A:$AH,34,1)</f>
        <v>0.30399318289224542</v>
      </c>
      <c r="N567" s="113">
        <f>VLOOKUP(A567,[3]RESUMEN!$A:$AI,35,1)</f>
        <v>0.38535983735858181</v>
      </c>
    </row>
    <row r="568" spans="1:14" x14ac:dyDescent="0.25">
      <c r="A568" s="102">
        <v>41607</v>
      </c>
      <c r="B568">
        <v>56.601999999999997</v>
      </c>
      <c r="C568">
        <v>73.236000000000004</v>
      </c>
      <c r="D568">
        <v>88.224000000000004</v>
      </c>
      <c r="E568">
        <v>128.327</v>
      </c>
      <c r="F568">
        <v>7.0000000000000007E-2</v>
      </c>
      <c r="G568">
        <v>9.7000000000000003E-2</v>
      </c>
      <c r="H568">
        <v>0.18099999999999999</v>
      </c>
      <c r="I568">
        <v>0.42899999999999999</v>
      </c>
      <c r="J568">
        <v>1.194</v>
      </c>
      <c r="K568">
        <v>8.2537207001166069E-2</v>
      </c>
      <c r="L568" s="112">
        <f>VLOOKUP(A568,[3]RESUMEN!$A:$AE,31,1)</f>
        <v>0.46672649182491821</v>
      </c>
      <c r="M568" s="113">
        <f>VLOOKUP(A568,[3]RESUMEN!$A:$AH,34,1)</f>
        <v>0.30399318289224542</v>
      </c>
      <c r="N568" s="113">
        <f>VLOOKUP(A568,[3]RESUMEN!$A:$AI,35,1)</f>
        <v>0.38535983735858181</v>
      </c>
    </row>
    <row r="569" spans="1:14" x14ac:dyDescent="0.25">
      <c r="A569" s="102">
        <v>41614</v>
      </c>
      <c r="B569">
        <v>46.024000000000001</v>
      </c>
      <c r="C569">
        <v>65.912000000000006</v>
      </c>
      <c r="D569">
        <v>82.007000000000005</v>
      </c>
      <c r="E569">
        <v>122.163</v>
      </c>
      <c r="F569">
        <v>0.09</v>
      </c>
      <c r="G569">
        <v>0.10349999999999999</v>
      </c>
      <c r="H569">
        <v>0.20200000000000001</v>
      </c>
      <c r="I569">
        <v>0.495</v>
      </c>
      <c r="J569">
        <v>1.294</v>
      </c>
      <c r="K569">
        <v>7.875763818151682E-2</v>
      </c>
      <c r="L569" s="112">
        <f>VLOOKUP(A569,[3]RESUMEN!$A:$AE,31,1)</f>
        <v>0.46672649182491821</v>
      </c>
      <c r="M569" s="113">
        <f>VLOOKUP(A569,[3]RESUMEN!$A:$AH,34,1)</f>
        <v>0.30399318289224542</v>
      </c>
      <c r="N569" s="113">
        <f>VLOOKUP(A569,[3]RESUMEN!$A:$AI,35,1)</f>
        <v>0.38535983735858181</v>
      </c>
    </row>
    <row r="570" spans="1:14" x14ac:dyDescent="0.25">
      <c r="A570" s="102">
        <v>41621</v>
      </c>
      <c r="B570">
        <v>43.277000000000001</v>
      </c>
      <c r="C570">
        <v>60.273000000000003</v>
      </c>
      <c r="D570">
        <v>78.007000000000005</v>
      </c>
      <c r="E570">
        <v>117.006</v>
      </c>
      <c r="F570">
        <v>0.08</v>
      </c>
      <c r="G570">
        <v>0.113</v>
      </c>
      <c r="H570">
        <v>0.22600000000000001</v>
      </c>
      <c r="I570">
        <v>0.53</v>
      </c>
      <c r="J570">
        <v>1.3439999999999999</v>
      </c>
      <c r="K570">
        <v>7.5564749238273388E-2</v>
      </c>
      <c r="L570" s="112">
        <f>VLOOKUP(A570,[3]RESUMEN!$A:$AE,31,1)</f>
        <v>0.46672649182491821</v>
      </c>
      <c r="M570" s="113">
        <f>VLOOKUP(A570,[3]RESUMEN!$A:$AH,34,1)</f>
        <v>0.30399318289224542</v>
      </c>
      <c r="N570" s="113">
        <f>VLOOKUP(A570,[3]RESUMEN!$A:$AI,35,1)</f>
        <v>0.38535983735858181</v>
      </c>
    </row>
    <row r="571" spans="1:14" x14ac:dyDescent="0.25">
      <c r="A571" s="102">
        <v>41628</v>
      </c>
      <c r="B571">
        <v>43.744999999999997</v>
      </c>
      <c r="C571">
        <v>62.326000000000001</v>
      </c>
      <c r="D571">
        <v>79.903000000000006</v>
      </c>
      <c r="E571">
        <v>122.256</v>
      </c>
      <c r="F571">
        <v>0.09</v>
      </c>
      <c r="G571">
        <v>0.129</v>
      </c>
      <c r="H571">
        <v>0.251</v>
      </c>
      <c r="I571">
        <v>0.57799999999999996</v>
      </c>
      <c r="J571">
        <v>1.4410000000000001</v>
      </c>
      <c r="K571">
        <v>7.8852429038251737E-2</v>
      </c>
      <c r="L571" s="112">
        <f>VLOOKUP(A571,[3]RESUMEN!$A:$AE,31,1)</f>
        <v>0.46672649182491821</v>
      </c>
      <c r="M571" s="113">
        <f>VLOOKUP(A571,[3]RESUMEN!$A:$AH,34,1)</f>
        <v>0.30399318289224542</v>
      </c>
      <c r="N571" s="113">
        <f>VLOOKUP(A571,[3]RESUMEN!$A:$AI,35,1)</f>
        <v>0.38535983735858181</v>
      </c>
    </row>
    <row r="572" spans="1:14" x14ac:dyDescent="0.25">
      <c r="A572" s="102">
        <v>41635</v>
      </c>
      <c r="B572">
        <v>44.895000000000003</v>
      </c>
      <c r="C572">
        <v>63.39</v>
      </c>
      <c r="D572">
        <v>80.552000000000007</v>
      </c>
      <c r="E572">
        <v>121.855</v>
      </c>
      <c r="F572">
        <v>0.08</v>
      </c>
      <c r="G572">
        <v>0.129</v>
      </c>
      <c r="H572">
        <v>0.27700000000000002</v>
      </c>
      <c r="I572">
        <v>0.64</v>
      </c>
      <c r="J572">
        <v>1.516</v>
      </c>
      <c r="K572">
        <v>7.8852429038251737E-2</v>
      </c>
      <c r="L572" s="112">
        <f>VLOOKUP(A572,[3]RESUMEN!$A:$AE,31,1)</f>
        <v>0.46672649182491821</v>
      </c>
      <c r="M572" s="113">
        <f>VLOOKUP(A572,[3]RESUMEN!$A:$AH,34,1)</f>
        <v>0.30399318289224542</v>
      </c>
      <c r="N572" s="113">
        <f>VLOOKUP(A572,[3]RESUMEN!$A:$AI,35,1)</f>
        <v>0.38535983735858181</v>
      </c>
    </row>
    <row r="573" spans="1:14" x14ac:dyDescent="0.25">
      <c r="A573" s="102">
        <v>41642</v>
      </c>
      <c r="B573">
        <v>44.637999999999998</v>
      </c>
      <c r="C573">
        <v>62.723999999999997</v>
      </c>
      <c r="D573">
        <v>77.435000000000002</v>
      </c>
      <c r="E573">
        <v>119.06</v>
      </c>
      <c r="F573">
        <v>0.08</v>
      </c>
      <c r="G573">
        <v>0.13400000000000001</v>
      </c>
      <c r="H573">
        <v>0.30399999999999999</v>
      </c>
      <c r="I573">
        <v>0.66900000000000004</v>
      </c>
      <c r="J573">
        <v>1.5289999999999999</v>
      </c>
      <c r="K573">
        <v>7.6852527923284009E-2</v>
      </c>
      <c r="L573" s="112">
        <f>VLOOKUP(A573,[3]RESUMEN!$A:$AE,31,1)</f>
        <v>0.49263975797234039</v>
      </c>
      <c r="M573" s="113">
        <f>VLOOKUP(A573,[3]RESUMEN!$A:$AH,34,1)</f>
        <v>0.59531692593596719</v>
      </c>
      <c r="N573" s="113">
        <f>VLOOKUP(A573,[3]RESUMEN!$A:$AI,35,1)</f>
        <v>0.54397834195415373</v>
      </c>
    </row>
    <row r="574" spans="1:14" x14ac:dyDescent="0.25">
      <c r="A574" s="102">
        <v>41649</v>
      </c>
      <c r="B574">
        <v>46.917999999999999</v>
      </c>
      <c r="C574">
        <v>64.825000000000003</v>
      </c>
      <c r="D574">
        <v>79.983000000000004</v>
      </c>
      <c r="E574">
        <v>124.49</v>
      </c>
      <c r="F574">
        <v>7.0000000000000007E-2</v>
      </c>
      <c r="G574">
        <v>0.127</v>
      </c>
      <c r="H574">
        <v>0.28799999999999998</v>
      </c>
      <c r="I574">
        <v>0.64300000000000002</v>
      </c>
      <c r="J574">
        <v>1.4510000000000001</v>
      </c>
      <c r="K574">
        <v>8.0241444207859058E-2</v>
      </c>
      <c r="L574" s="112">
        <f>VLOOKUP(A574,[3]RESUMEN!$A:$AE,31,1)</f>
        <v>0.49263975797234039</v>
      </c>
      <c r="M574" s="113">
        <f>VLOOKUP(A574,[3]RESUMEN!$A:$AH,34,1)</f>
        <v>0.59531692593596719</v>
      </c>
      <c r="N574" s="113">
        <f>VLOOKUP(A574,[3]RESUMEN!$A:$AI,35,1)</f>
        <v>0.54397834195415373</v>
      </c>
    </row>
    <row r="575" spans="1:14" x14ac:dyDescent="0.25">
      <c r="A575" s="102">
        <v>41656</v>
      </c>
      <c r="B575">
        <v>44.741</v>
      </c>
      <c r="C575">
        <v>62.475000000000001</v>
      </c>
      <c r="D575">
        <v>78.146000000000001</v>
      </c>
      <c r="E575">
        <v>118.669</v>
      </c>
      <c r="F575">
        <v>7.0000000000000007E-2</v>
      </c>
      <c r="G575">
        <v>0.122</v>
      </c>
      <c r="H575">
        <v>0.30599999999999999</v>
      </c>
      <c r="I575">
        <v>0.66700000000000004</v>
      </c>
      <c r="J575">
        <v>1.468</v>
      </c>
      <c r="K575">
        <v>7.6601299003833723E-2</v>
      </c>
      <c r="L575" s="112">
        <f>VLOOKUP(A575,[3]RESUMEN!$A:$AE,31,1)</f>
        <v>0.49263975797234039</v>
      </c>
      <c r="M575" s="113">
        <f>VLOOKUP(A575,[3]RESUMEN!$A:$AH,34,1)</f>
        <v>0.59531692593596719</v>
      </c>
      <c r="N575" s="113">
        <f>VLOOKUP(A575,[3]RESUMEN!$A:$AI,35,1)</f>
        <v>0.54397834195415373</v>
      </c>
    </row>
    <row r="576" spans="1:14" x14ac:dyDescent="0.25">
      <c r="A576" s="102">
        <v>41663</v>
      </c>
      <c r="B576">
        <v>50.067999999999998</v>
      </c>
      <c r="C576">
        <v>73.844999999999999</v>
      </c>
      <c r="D576">
        <v>88.575000000000003</v>
      </c>
      <c r="E576">
        <v>136.15299999999999</v>
      </c>
      <c r="F576">
        <v>7.0000000000000007E-2</v>
      </c>
      <c r="G576">
        <v>0.11600000000000001</v>
      </c>
      <c r="H576">
        <v>0.27100000000000002</v>
      </c>
      <c r="I576">
        <v>0.60699999999999998</v>
      </c>
      <c r="J576">
        <v>1.3900000000000001</v>
      </c>
      <c r="K576">
        <v>8.7439117251481457E-2</v>
      </c>
      <c r="L576" s="112">
        <f>VLOOKUP(A576,[3]RESUMEN!$A:$AE,31,1)</f>
        <v>0.49263975797234039</v>
      </c>
      <c r="M576" s="113">
        <f>VLOOKUP(A576,[3]RESUMEN!$A:$AH,34,1)</f>
        <v>0.59531692593596719</v>
      </c>
      <c r="N576" s="113">
        <f>VLOOKUP(A576,[3]RESUMEN!$A:$AI,35,1)</f>
        <v>0.54397834195415373</v>
      </c>
    </row>
    <row r="577" spans="1:14" x14ac:dyDescent="0.25">
      <c r="A577" s="102">
        <v>41670</v>
      </c>
      <c r="B577">
        <v>50.609000000000002</v>
      </c>
      <c r="C577">
        <v>72.450999999999993</v>
      </c>
      <c r="D577">
        <v>88.177999999999997</v>
      </c>
      <c r="E577">
        <v>130.84</v>
      </c>
      <c r="F577">
        <v>7.0000000000000007E-2</v>
      </c>
      <c r="G577">
        <v>0.10299999999999999</v>
      </c>
      <c r="H577">
        <v>0.245</v>
      </c>
      <c r="I577">
        <v>0.57499999999999996</v>
      </c>
      <c r="J577">
        <v>1.329</v>
      </c>
      <c r="K577">
        <v>8.4120495867098466E-2</v>
      </c>
      <c r="L577" s="112">
        <f>VLOOKUP(A577,[3]RESUMEN!$A:$AE,31,1)</f>
        <v>0.49263975797234039</v>
      </c>
      <c r="M577" s="113">
        <f>VLOOKUP(A577,[3]RESUMEN!$A:$AH,34,1)</f>
        <v>0.59531692593596719</v>
      </c>
      <c r="N577" s="113">
        <f>VLOOKUP(A577,[3]RESUMEN!$A:$AI,35,1)</f>
        <v>0.54397834195415373</v>
      </c>
    </row>
    <row r="578" spans="1:14" x14ac:dyDescent="0.25">
      <c r="A578" s="102">
        <v>41677</v>
      </c>
      <c r="B578">
        <v>40.125</v>
      </c>
      <c r="C578">
        <v>61.601999999999997</v>
      </c>
      <c r="D578">
        <v>78.049000000000007</v>
      </c>
      <c r="E578">
        <v>121.48099999999999</v>
      </c>
      <c r="F578">
        <v>0.06</v>
      </c>
      <c r="G578">
        <v>9.9000000000000005E-2</v>
      </c>
      <c r="H578">
        <v>0.221</v>
      </c>
      <c r="I578">
        <v>0.53300000000000003</v>
      </c>
      <c r="J578">
        <v>1.304</v>
      </c>
      <c r="K578">
        <v>7.8376529454583066E-2</v>
      </c>
      <c r="L578" s="112">
        <f>VLOOKUP(A578,[3]RESUMEN!$A:$AE,31,1)</f>
        <v>0.49263975797234039</v>
      </c>
      <c r="M578" s="113">
        <f>VLOOKUP(A578,[3]RESUMEN!$A:$AH,34,1)</f>
        <v>0.59531692593596719</v>
      </c>
      <c r="N578" s="113">
        <f>VLOOKUP(A578,[3]RESUMEN!$A:$AI,35,1)</f>
        <v>0.54397834195415373</v>
      </c>
    </row>
    <row r="579" spans="1:14" x14ac:dyDescent="0.25">
      <c r="A579" s="102">
        <v>41684</v>
      </c>
      <c r="B579">
        <v>39.962000000000003</v>
      </c>
      <c r="C579">
        <v>62.701999999999998</v>
      </c>
      <c r="D579">
        <v>78.706000000000003</v>
      </c>
      <c r="E579">
        <v>121.82299999999999</v>
      </c>
      <c r="F579">
        <v>0.06</v>
      </c>
      <c r="G579">
        <v>9.4E-2</v>
      </c>
      <c r="H579">
        <v>0.24809999999999999</v>
      </c>
      <c r="I579">
        <v>0.58899999999999997</v>
      </c>
      <c r="J579">
        <v>1.37</v>
      </c>
      <c r="K579">
        <v>7.8376529454583066E-2</v>
      </c>
      <c r="L579" s="112">
        <f>VLOOKUP(A579,[3]RESUMEN!$A:$AE,31,1)</f>
        <v>0.49263975797234039</v>
      </c>
      <c r="M579" s="113">
        <f>VLOOKUP(A579,[3]RESUMEN!$A:$AH,34,1)</f>
        <v>0.59531692593596719</v>
      </c>
      <c r="N579" s="113">
        <f>VLOOKUP(A579,[3]RESUMEN!$A:$AI,35,1)</f>
        <v>0.54397834195415373</v>
      </c>
    </row>
    <row r="580" spans="1:14" x14ac:dyDescent="0.25">
      <c r="A580" s="102">
        <v>41691</v>
      </c>
      <c r="B580">
        <v>36.707999999999998</v>
      </c>
      <c r="C580">
        <v>59.051000000000002</v>
      </c>
      <c r="D580">
        <v>75.501999999999995</v>
      </c>
      <c r="E580">
        <v>119.483</v>
      </c>
      <c r="F580">
        <v>7.0000000000000007E-2</v>
      </c>
      <c r="G580">
        <v>9.5000000000000001E-2</v>
      </c>
      <c r="H580">
        <v>0.251</v>
      </c>
      <c r="I580">
        <v>0.59</v>
      </c>
      <c r="J580">
        <v>1.369</v>
      </c>
      <c r="K580">
        <v>7.7624006940636425E-2</v>
      </c>
      <c r="L580" s="112">
        <f>VLOOKUP(A580,[3]RESUMEN!$A:$AE,31,1)</f>
        <v>0.49263975797234039</v>
      </c>
      <c r="M580" s="113">
        <f>VLOOKUP(A580,[3]RESUMEN!$A:$AH,34,1)</f>
        <v>0.59531692593596719</v>
      </c>
      <c r="N580" s="113">
        <f>VLOOKUP(A580,[3]RESUMEN!$A:$AI,35,1)</f>
        <v>0.54397834195415373</v>
      </c>
    </row>
    <row r="581" spans="1:14" x14ac:dyDescent="0.25">
      <c r="A581" s="102">
        <v>41698</v>
      </c>
      <c r="B581">
        <v>31.262</v>
      </c>
      <c r="C581">
        <v>54.747</v>
      </c>
      <c r="D581">
        <v>72.536000000000001</v>
      </c>
      <c r="E581">
        <v>114.32</v>
      </c>
      <c r="F581">
        <v>0.06</v>
      </c>
      <c r="G581">
        <v>0.10100000000000001</v>
      </c>
      <c r="H581">
        <v>0.254</v>
      </c>
      <c r="I581">
        <v>0.58699999999999997</v>
      </c>
      <c r="J581">
        <v>1.335</v>
      </c>
      <c r="K581">
        <v>7.3946898573003739E-2</v>
      </c>
      <c r="L581" s="112">
        <f>VLOOKUP(A581,[3]RESUMEN!$A:$AE,31,1)</f>
        <v>0.49263975797234039</v>
      </c>
      <c r="M581" s="113">
        <f>VLOOKUP(A581,[3]RESUMEN!$A:$AH,34,1)</f>
        <v>0.59531692593596719</v>
      </c>
      <c r="N581" s="113">
        <f>VLOOKUP(A581,[3]RESUMEN!$A:$AI,35,1)</f>
        <v>0.54397834195415373</v>
      </c>
    </row>
    <row r="582" spans="1:14" x14ac:dyDescent="0.25">
      <c r="A582" s="102">
        <v>41705</v>
      </c>
      <c r="B582">
        <v>31.062000000000001</v>
      </c>
      <c r="C582">
        <v>51.466999999999999</v>
      </c>
      <c r="D582">
        <v>68.700999999999993</v>
      </c>
      <c r="E582">
        <v>108.66</v>
      </c>
      <c r="F582">
        <v>0.08</v>
      </c>
      <c r="G582">
        <v>0.114</v>
      </c>
      <c r="H582">
        <v>0.313</v>
      </c>
      <c r="I582">
        <v>0.68600000000000005</v>
      </c>
      <c r="J582">
        <v>1.464</v>
      </c>
      <c r="K582">
        <v>7.0401716933474301E-2</v>
      </c>
      <c r="L582" s="112">
        <f>VLOOKUP(A582,[3]RESUMEN!$A:$AE,31,1)</f>
        <v>0.49263975797234039</v>
      </c>
      <c r="M582" s="113">
        <f>VLOOKUP(A582,[3]RESUMEN!$A:$AH,34,1)</f>
        <v>0.59531692593596719</v>
      </c>
      <c r="N582" s="113">
        <f>VLOOKUP(A582,[3]RESUMEN!$A:$AI,35,1)</f>
        <v>0.54397834195415373</v>
      </c>
    </row>
    <row r="583" spans="1:14" x14ac:dyDescent="0.25">
      <c r="A583" s="102">
        <v>41712</v>
      </c>
      <c r="B583">
        <v>33.69</v>
      </c>
      <c r="C583">
        <v>56.918999999999997</v>
      </c>
      <c r="D583">
        <v>74.040000000000006</v>
      </c>
      <c r="E583">
        <v>114.178</v>
      </c>
      <c r="F583">
        <v>0.08</v>
      </c>
      <c r="G583">
        <v>0.113</v>
      </c>
      <c r="H583">
        <v>0.28799999999999998</v>
      </c>
      <c r="I583">
        <v>0.629</v>
      </c>
      <c r="J583">
        <v>1.3740000000000001</v>
      </c>
      <c r="K583">
        <v>7.3833979922035553E-2</v>
      </c>
      <c r="L583" s="112">
        <f>VLOOKUP(A583,[3]RESUMEN!$A:$AE,31,1)</f>
        <v>0.49263975797234039</v>
      </c>
      <c r="M583" s="113">
        <f>VLOOKUP(A583,[3]RESUMEN!$A:$AH,34,1)</f>
        <v>0.59531692593596719</v>
      </c>
      <c r="N583" s="113">
        <f>VLOOKUP(A583,[3]RESUMEN!$A:$AI,35,1)</f>
        <v>0.54397834195415373</v>
      </c>
    </row>
    <row r="584" spans="1:14" x14ac:dyDescent="0.25">
      <c r="A584" s="102">
        <v>41719</v>
      </c>
      <c r="B584">
        <v>31.477</v>
      </c>
      <c r="C584">
        <v>54.061</v>
      </c>
      <c r="D584">
        <v>70.703000000000003</v>
      </c>
      <c r="E584">
        <v>112.66</v>
      </c>
      <c r="F584">
        <v>0.08</v>
      </c>
      <c r="G584">
        <v>0.13200000000000001</v>
      </c>
      <c r="H584">
        <v>0.3755</v>
      </c>
      <c r="I584">
        <v>0.79600000000000004</v>
      </c>
      <c r="J584">
        <v>1.5550000000000002</v>
      </c>
      <c r="K584">
        <v>7.3123321654207096E-2</v>
      </c>
      <c r="L584" s="112">
        <f>VLOOKUP(A584,[3]RESUMEN!$A:$AE,31,1)</f>
        <v>0.49263975797234039</v>
      </c>
      <c r="M584" s="113">
        <f>VLOOKUP(A584,[3]RESUMEN!$A:$AH,34,1)</f>
        <v>0.59531692593596719</v>
      </c>
      <c r="N584" s="113">
        <f>VLOOKUP(A584,[3]RESUMEN!$A:$AI,35,1)</f>
        <v>0.54397834195415373</v>
      </c>
    </row>
    <row r="585" spans="1:14" x14ac:dyDescent="0.25">
      <c r="A585" s="102">
        <v>41726</v>
      </c>
      <c r="B585">
        <v>30.489000000000001</v>
      </c>
      <c r="C585">
        <v>48.872</v>
      </c>
      <c r="D585">
        <v>65.67</v>
      </c>
      <c r="E585">
        <v>106.648</v>
      </c>
      <c r="F585">
        <v>0.08</v>
      </c>
      <c r="G585">
        <v>0.1235</v>
      </c>
      <c r="H585">
        <v>0.39400000000000002</v>
      </c>
      <c r="I585">
        <v>0.82699999999999996</v>
      </c>
      <c r="J585">
        <v>1.585</v>
      </c>
      <c r="K585">
        <v>6.9154947064488326E-2</v>
      </c>
      <c r="L585" s="112">
        <f>VLOOKUP(A585,[3]RESUMEN!$A:$AE,31,1)</f>
        <v>0.49263975797234039</v>
      </c>
      <c r="M585" s="113">
        <f>VLOOKUP(A585,[3]RESUMEN!$A:$AH,34,1)</f>
        <v>0.59531692593596719</v>
      </c>
      <c r="N585" s="113">
        <f>VLOOKUP(A585,[3]RESUMEN!$A:$AI,35,1)</f>
        <v>0.54397834195415373</v>
      </c>
    </row>
    <row r="586" spans="1:14" x14ac:dyDescent="0.25">
      <c r="A586" s="102">
        <v>41733</v>
      </c>
      <c r="B586">
        <v>25.652000000000001</v>
      </c>
      <c r="C586">
        <v>47.911999999999999</v>
      </c>
      <c r="D586">
        <v>64.760000000000005</v>
      </c>
      <c r="E586">
        <v>103.505</v>
      </c>
      <c r="F586">
        <v>0.08</v>
      </c>
      <c r="G586">
        <v>0.11799999999999999</v>
      </c>
      <c r="H586">
        <v>0.36399999999999999</v>
      </c>
      <c r="I586">
        <v>0.79400000000000004</v>
      </c>
      <c r="J586">
        <v>1.554</v>
      </c>
      <c r="K586">
        <v>6.7166856676815656E-2</v>
      </c>
      <c r="L586" s="112">
        <f>VLOOKUP(A586,[3]RESUMEN!$A:$AE,31,1)</f>
        <v>0.41439845435073508</v>
      </c>
      <c r="M586" s="113">
        <f>VLOOKUP(A586,[3]RESUMEN!$A:$AH,34,1)</f>
        <v>0.68711013306817814</v>
      </c>
      <c r="N586" s="113">
        <f>VLOOKUP(A586,[3]RESUMEN!$A:$AI,35,1)</f>
        <v>0.55075429370945661</v>
      </c>
    </row>
    <row r="587" spans="1:14" x14ac:dyDescent="0.25">
      <c r="A587" s="102">
        <v>41740</v>
      </c>
      <c r="B587">
        <v>27.045000000000002</v>
      </c>
      <c r="C587">
        <v>43.737000000000002</v>
      </c>
      <c r="D587">
        <v>61.371000000000002</v>
      </c>
      <c r="E587">
        <v>100.68</v>
      </c>
      <c r="F587">
        <v>0.09</v>
      </c>
      <c r="G587">
        <v>0.112</v>
      </c>
      <c r="H587">
        <v>0.32350000000000001</v>
      </c>
      <c r="I587">
        <v>0.71299999999999997</v>
      </c>
      <c r="J587">
        <v>1.4550000000000001</v>
      </c>
      <c r="K587">
        <v>6.5414848810977921E-2</v>
      </c>
      <c r="L587" s="112">
        <f>VLOOKUP(A587,[3]RESUMEN!$A:$AE,31,1)</f>
        <v>0.41439845435073508</v>
      </c>
      <c r="M587" s="113">
        <f>VLOOKUP(A587,[3]RESUMEN!$A:$AH,34,1)</f>
        <v>0.68711013306817814</v>
      </c>
      <c r="N587" s="113">
        <f>VLOOKUP(A587,[3]RESUMEN!$A:$AI,35,1)</f>
        <v>0.55075429370945661</v>
      </c>
    </row>
    <row r="588" spans="1:14" x14ac:dyDescent="0.25">
      <c r="A588" s="102">
        <v>41747</v>
      </c>
      <c r="B588">
        <v>27.186</v>
      </c>
      <c r="C588">
        <v>42.414000000000001</v>
      </c>
      <c r="D588">
        <v>59.808</v>
      </c>
      <c r="E588">
        <v>99.97</v>
      </c>
      <c r="F588">
        <v>0.1</v>
      </c>
      <c r="G588">
        <v>0.12</v>
      </c>
      <c r="H588">
        <v>0.375</v>
      </c>
      <c r="I588">
        <v>0.82450000000000001</v>
      </c>
      <c r="J588">
        <v>1.613</v>
      </c>
      <c r="K588">
        <v>6.5414848810977921E-2</v>
      </c>
      <c r="L588" s="112">
        <f>VLOOKUP(A588,[3]RESUMEN!$A:$AE,31,1)</f>
        <v>0.41439845435073508</v>
      </c>
      <c r="M588" s="113">
        <f>VLOOKUP(A588,[3]RESUMEN!$A:$AH,34,1)</f>
        <v>0.68711013306817814</v>
      </c>
      <c r="N588" s="113">
        <f>VLOOKUP(A588,[3]RESUMEN!$A:$AI,35,1)</f>
        <v>0.55075429370945661</v>
      </c>
    </row>
    <row r="589" spans="1:14" x14ac:dyDescent="0.25">
      <c r="A589" s="102">
        <v>41754</v>
      </c>
      <c r="B589">
        <v>30.641999999999999</v>
      </c>
      <c r="C589">
        <v>43.493000000000002</v>
      </c>
      <c r="D589">
        <v>61.011000000000003</v>
      </c>
      <c r="E589">
        <v>101.444</v>
      </c>
      <c r="F589">
        <v>0.09</v>
      </c>
      <c r="G589">
        <v>0.1305</v>
      </c>
      <c r="H589">
        <v>0.38200000000000001</v>
      </c>
      <c r="I589">
        <v>0.81599999999999995</v>
      </c>
      <c r="J589">
        <v>1.585</v>
      </c>
      <c r="K589">
        <v>6.5414848810977921E-2</v>
      </c>
      <c r="L589" s="112">
        <f>VLOOKUP(A589,[3]RESUMEN!$A:$AE,31,1)</f>
        <v>0.41439845435073508</v>
      </c>
      <c r="M589" s="113">
        <f>VLOOKUP(A589,[3]RESUMEN!$A:$AH,34,1)</f>
        <v>0.68711013306817814</v>
      </c>
      <c r="N589" s="113">
        <f>VLOOKUP(A589,[3]RESUMEN!$A:$AI,35,1)</f>
        <v>0.55075429370945661</v>
      </c>
    </row>
    <row r="590" spans="1:14" x14ac:dyDescent="0.25">
      <c r="A590" s="102">
        <v>41761</v>
      </c>
      <c r="B590">
        <v>24.88</v>
      </c>
      <c r="C590">
        <v>38.828000000000003</v>
      </c>
      <c r="D590">
        <v>55.078000000000003</v>
      </c>
      <c r="E590">
        <v>96.003</v>
      </c>
      <c r="F590">
        <v>0.09</v>
      </c>
      <c r="G590">
        <v>0.1305</v>
      </c>
      <c r="H590">
        <v>0.39350000000000002</v>
      </c>
      <c r="I590">
        <v>0.81899999999999995</v>
      </c>
      <c r="J590">
        <v>1.5329999999999999</v>
      </c>
      <c r="K590">
        <v>6.2491764818353168E-2</v>
      </c>
      <c r="L590" s="112">
        <f>VLOOKUP(A590,[3]RESUMEN!$A:$AE,31,1)</f>
        <v>0.41439845435073508</v>
      </c>
      <c r="M590" s="113">
        <f>VLOOKUP(A590,[3]RESUMEN!$A:$AH,34,1)</f>
        <v>0.68711013306817814</v>
      </c>
      <c r="N590" s="113">
        <f>VLOOKUP(A590,[3]RESUMEN!$A:$AI,35,1)</f>
        <v>0.55075429370945661</v>
      </c>
    </row>
    <row r="591" spans="1:14" x14ac:dyDescent="0.25">
      <c r="A591" s="102">
        <v>41768</v>
      </c>
      <c r="B591">
        <v>23.146000000000001</v>
      </c>
      <c r="C591">
        <v>34.566000000000003</v>
      </c>
      <c r="D591">
        <v>51.481999999999999</v>
      </c>
      <c r="E591">
        <v>89.510999999999996</v>
      </c>
      <c r="F591">
        <v>0.08</v>
      </c>
      <c r="G591">
        <v>0.1285</v>
      </c>
      <c r="H591">
        <v>0.371</v>
      </c>
      <c r="I591">
        <v>0.79</v>
      </c>
      <c r="J591">
        <v>1.5110000000000001</v>
      </c>
      <c r="K591">
        <v>5.8375093964853408E-2</v>
      </c>
      <c r="L591" s="112">
        <f>VLOOKUP(A591,[3]RESUMEN!$A:$AE,31,1)</f>
        <v>0.41439845435073508</v>
      </c>
      <c r="M591" s="113">
        <f>VLOOKUP(A591,[3]RESUMEN!$A:$AH,34,1)</f>
        <v>0.68711013306817814</v>
      </c>
      <c r="N591" s="113">
        <f>VLOOKUP(A591,[3]RESUMEN!$A:$AI,35,1)</f>
        <v>0.55075429370945661</v>
      </c>
    </row>
    <row r="592" spans="1:14" x14ac:dyDescent="0.25">
      <c r="A592" s="102">
        <v>41775</v>
      </c>
      <c r="B592">
        <v>21.428000000000001</v>
      </c>
      <c r="C592">
        <v>35.220999999999997</v>
      </c>
      <c r="D592">
        <v>49.003</v>
      </c>
      <c r="E592">
        <v>91.253</v>
      </c>
      <c r="F592">
        <v>0.09</v>
      </c>
      <c r="G592">
        <v>0.125</v>
      </c>
      <c r="H592">
        <v>0.35649999999999998</v>
      </c>
      <c r="I592">
        <v>0.747</v>
      </c>
      <c r="J592">
        <v>1.446</v>
      </c>
      <c r="K592">
        <v>5.8941294783377285E-2</v>
      </c>
      <c r="L592" s="112">
        <f>VLOOKUP(A592,[3]RESUMEN!$A:$AE,31,1)</f>
        <v>0.41439845435073508</v>
      </c>
      <c r="M592" s="113">
        <f>VLOOKUP(A592,[3]RESUMEN!$A:$AH,34,1)</f>
        <v>0.68711013306817814</v>
      </c>
      <c r="N592" s="113">
        <f>VLOOKUP(A592,[3]RESUMEN!$A:$AI,35,1)</f>
        <v>0.55075429370945661</v>
      </c>
    </row>
    <row r="593" spans="1:14" x14ac:dyDescent="0.25">
      <c r="A593" s="102">
        <v>41782</v>
      </c>
      <c r="B593">
        <v>21.135000000000002</v>
      </c>
      <c r="C593">
        <v>31.306000000000001</v>
      </c>
      <c r="D593">
        <v>46.677</v>
      </c>
      <c r="E593">
        <v>86.007999999999996</v>
      </c>
      <c r="F593">
        <v>0.09</v>
      </c>
      <c r="G593">
        <v>0.13</v>
      </c>
      <c r="H593">
        <v>0.35099999999999998</v>
      </c>
      <c r="I593">
        <v>0.71799999999999997</v>
      </c>
      <c r="J593">
        <v>1.407</v>
      </c>
      <c r="K593">
        <v>5.6171194311925743E-2</v>
      </c>
      <c r="L593" s="112">
        <f>VLOOKUP(A593,[3]RESUMEN!$A:$AE,31,1)</f>
        <v>0.41439845435073508</v>
      </c>
      <c r="M593" s="113">
        <f>VLOOKUP(A593,[3]RESUMEN!$A:$AH,34,1)</f>
        <v>0.68711013306817814</v>
      </c>
      <c r="N593" s="113">
        <f>VLOOKUP(A593,[3]RESUMEN!$A:$AI,35,1)</f>
        <v>0.55075429370945661</v>
      </c>
    </row>
    <row r="594" spans="1:14" x14ac:dyDescent="0.25">
      <c r="A594" s="102">
        <v>41789</v>
      </c>
      <c r="B594">
        <v>16.175000000000001</v>
      </c>
      <c r="C594">
        <v>25.632999999999999</v>
      </c>
      <c r="D594">
        <v>41.652999999999999</v>
      </c>
      <c r="E594">
        <v>82.998000000000005</v>
      </c>
      <c r="F594">
        <v>0.08</v>
      </c>
      <c r="G594">
        <v>0.13200000000000001</v>
      </c>
      <c r="H594">
        <v>0.35799999999999998</v>
      </c>
      <c r="I594">
        <v>0.73699999999999999</v>
      </c>
      <c r="J594">
        <v>1.4119999999999999</v>
      </c>
      <c r="K594">
        <v>5.4291355718050549E-2</v>
      </c>
      <c r="L594" s="112">
        <f>VLOOKUP(A594,[3]RESUMEN!$A:$AE,31,1)</f>
        <v>0.41439845435073508</v>
      </c>
      <c r="M594" s="113">
        <f>VLOOKUP(A594,[3]RESUMEN!$A:$AH,34,1)</f>
        <v>0.68711013306817814</v>
      </c>
      <c r="N594" s="113">
        <f>VLOOKUP(A594,[3]RESUMEN!$A:$AI,35,1)</f>
        <v>0.55075429370945661</v>
      </c>
    </row>
    <row r="595" spans="1:14" x14ac:dyDescent="0.25">
      <c r="A595" s="102">
        <v>41796</v>
      </c>
      <c r="B595">
        <v>16.347000000000001</v>
      </c>
      <c r="C595">
        <v>21.706</v>
      </c>
      <c r="D595">
        <v>37.497</v>
      </c>
      <c r="E595">
        <v>76.677999999999997</v>
      </c>
      <c r="F595">
        <v>0.09</v>
      </c>
      <c r="G595">
        <v>0.13750000000000001</v>
      </c>
      <c r="H595">
        <v>0.39350000000000002</v>
      </c>
      <c r="I595">
        <v>0.79900000000000004</v>
      </c>
      <c r="J595">
        <v>1.53</v>
      </c>
      <c r="K595">
        <v>5.0251081495583327E-2</v>
      </c>
      <c r="L595" s="112">
        <f>VLOOKUP(A595,[3]RESUMEN!$A:$AE,31,1)</f>
        <v>0.41439845435073508</v>
      </c>
      <c r="M595" s="113">
        <f>VLOOKUP(A595,[3]RESUMEN!$A:$AH,34,1)</f>
        <v>0.68711013306817814</v>
      </c>
      <c r="N595" s="113">
        <f>VLOOKUP(A595,[3]RESUMEN!$A:$AI,35,1)</f>
        <v>0.55075429370945661</v>
      </c>
    </row>
    <row r="596" spans="1:14" x14ac:dyDescent="0.25">
      <c r="A596" s="102">
        <v>41803</v>
      </c>
      <c r="B596">
        <v>18.846</v>
      </c>
      <c r="C596">
        <v>27.744</v>
      </c>
      <c r="D596">
        <v>41.51</v>
      </c>
      <c r="E596">
        <v>77.677999999999997</v>
      </c>
      <c r="F596">
        <v>0.1</v>
      </c>
      <c r="G596">
        <v>0.155</v>
      </c>
      <c r="H596">
        <v>0.44500000000000001</v>
      </c>
      <c r="I596">
        <v>0.86</v>
      </c>
      <c r="J596">
        <v>1.579</v>
      </c>
      <c r="K596">
        <v>5.0251081495583327E-2</v>
      </c>
      <c r="L596" s="112">
        <f>VLOOKUP(A596,[3]RESUMEN!$A:$AE,31,1)</f>
        <v>0.41439845435073508</v>
      </c>
      <c r="M596" s="113">
        <f>VLOOKUP(A596,[3]RESUMEN!$A:$AH,34,1)</f>
        <v>0.68711013306817814</v>
      </c>
      <c r="N596" s="113">
        <f>VLOOKUP(A596,[3]RESUMEN!$A:$AI,35,1)</f>
        <v>0.55075429370945661</v>
      </c>
    </row>
    <row r="597" spans="1:14" x14ac:dyDescent="0.25">
      <c r="A597" s="102">
        <v>41810</v>
      </c>
      <c r="B597">
        <v>17.140999999999998</v>
      </c>
      <c r="C597">
        <v>23.67</v>
      </c>
      <c r="D597">
        <v>38.003</v>
      </c>
      <c r="E597">
        <v>76.337000000000003</v>
      </c>
      <c r="F597">
        <v>0.1</v>
      </c>
      <c r="G597">
        <v>0.159</v>
      </c>
      <c r="H597">
        <v>0.45900000000000002</v>
      </c>
      <c r="I597">
        <v>0.879</v>
      </c>
      <c r="J597">
        <v>1.5779999999999998</v>
      </c>
      <c r="K597">
        <v>5.0251081495583327E-2</v>
      </c>
      <c r="L597" s="112">
        <f>VLOOKUP(A597,[3]RESUMEN!$A:$AE,31,1)</f>
        <v>0.41439845435073508</v>
      </c>
      <c r="M597" s="113">
        <f>VLOOKUP(A597,[3]RESUMEN!$A:$AH,34,1)</f>
        <v>0.68711013306817814</v>
      </c>
      <c r="N597" s="113">
        <f>VLOOKUP(A597,[3]RESUMEN!$A:$AI,35,1)</f>
        <v>0.55075429370945661</v>
      </c>
    </row>
    <row r="598" spans="1:14" x14ac:dyDescent="0.25">
      <c r="A598" s="102">
        <v>41817</v>
      </c>
      <c r="B598">
        <v>19.576000000000001</v>
      </c>
      <c r="C598">
        <v>28.315000000000001</v>
      </c>
      <c r="D598">
        <v>42.133000000000003</v>
      </c>
      <c r="E598">
        <v>78.003</v>
      </c>
      <c r="F598">
        <v>0.1</v>
      </c>
      <c r="G598">
        <v>0.16</v>
      </c>
      <c r="H598">
        <v>0.44550000000000001</v>
      </c>
      <c r="I598">
        <v>0.84899999999999998</v>
      </c>
      <c r="J598">
        <v>1.526</v>
      </c>
      <c r="K598">
        <v>5.0740623278517361E-2</v>
      </c>
      <c r="L598" s="112">
        <f>VLOOKUP(A598,[3]RESUMEN!$A:$AE,31,1)</f>
        <v>0.41439845435073508</v>
      </c>
      <c r="M598" s="113">
        <f>VLOOKUP(A598,[3]RESUMEN!$A:$AH,34,1)</f>
        <v>0.68711013306817814</v>
      </c>
      <c r="N598" s="113">
        <f>VLOOKUP(A598,[3]RESUMEN!$A:$AI,35,1)</f>
        <v>0.55075429370945661</v>
      </c>
    </row>
    <row r="599" spans="1:14" x14ac:dyDescent="0.25">
      <c r="A599" s="102">
        <v>41824</v>
      </c>
      <c r="B599">
        <v>20.248999999999999</v>
      </c>
      <c r="C599">
        <v>23.832999999999998</v>
      </c>
      <c r="D599">
        <v>40.470999999999997</v>
      </c>
      <c r="E599">
        <v>81.512</v>
      </c>
      <c r="F599">
        <v>0.09</v>
      </c>
      <c r="G599">
        <v>0.17499999999999999</v>
      </c>
      <c r="H599">
        <v>0.51300000000000001</v>
      </c>
      <c r="I599">
        <v>0.94899999999999995</v>
      </c>
      <c r="J599">
        <v>1.637</v>
      </c>
      <c r="K599">
        <v>5.3343027687789979E-2</v>
      </c>
      <c r="L599" s="112">
        <f>VLOOKUP(A599,[3]RESUMEN!$A:$AE,31,1)</f>
        <v>0.20766709993565094</v>
      </c>
      <c r="M599" s="113">
        <f>VLOOKUP(A599,[3]RESUMEN!$A:$AH,34,1)</f>
        <v>0.99194954902755783</v>
      </c>
      <c r="N599" s="113">
        <f>VLOOKUP(A599,[3]RESUMEN!$A:$AI,35,1)</f>
        <v>0.59980832448160437</v>
      </c>
    </row>
    <row r="600" spans="1:14" x14ac:dyDescent="0.25">
      <c r="A600" s="102">
        <v>41831</v>
      </c>
      <c r="B600">
        <v>22.895</v>
      </c>
      <c r="C600">
        <v>29.837</v>
      </c>
      <c r="D600">
        <v>44.67</v>
      </c>
      <c r="E600">
        <v>82.503</v>
      </c>
      <c r="F600">
        <v>0.09</v>
      </c>
      <c r="G600">
        <v>0.14799999999999999</v>
      </c>
      <c r="H600">
        <v>0.44900000000000001</v>
      </c>
      <c r="I600">
        <v>0.85799999999999998</v>
      </c>
      <c r="J600">
        <v>1.5350000000000001</v>
      </c>
      <c r="K600">
        <v>5.3343027687789979E-2</v>
      </c>
      <c r="L600" s="112">
        <f>VLOOKUP(A600,[3]RESUMEN!$A:$AE,31,1)</f>
        <v>0.20766709993565094</v>
      </c>
      <c r="M600" s="113">
        <f>VLOOKUP(A600,[3]RESUMEN!$A:$AH,34,1)</f>
        <v>0.99194954902755783</v>
      </c>
      <c r="N600" s="113">
        <f>VLOOKUP(A600,[3]RESUMEN!$A:$AI,35,1)</f>
        <v>0.59980832448160437</v>
      </c>
    </row>
    <row r="601" spans="1:14" x14ac:dyDescent="0.25">
      <c r="A601" s="102">
        <v>41838</v>
      </c>
      <c r="B601">
        <v>23.966999999999999</v>
      </c>
      <c r="C601">
        <v>28.396999999999998</v>
      </c>
      <c r="D601">
        <v>45.607999999999997</v>
      </c>
      <c r="E601">
        <v>88.495999999999995</v>
      </c>
      <c r="F601">
        <v>0.09</v>
      </c>
      <c r="G601">
        <v>0.16300000000000001</v>
      </c>
      <c r="H601">
        <v>0.50949999999999995</v>
      </c>
      <c r="I601">
        <v>0.93100000000000005</v>
      </c>
      <c r="J601">
        <v>1.5760000000000001</v>
      </c>
      <c r="K601">
        <v>5.7787130219837168E-2</v>
      </c>
      <c r="L601" s="112">
        <f>VLOOKUP(A601,[3]RESUMEN!$A:$AE,31,1)</f>
        <v>0.20766709993565094</v>
      </c>
      <c r="M601" s="113">
        <f>VLOOKUP(A601,[3]RESUMEN!$A:$AH,34,1)</f>
        <v>0.99194954902755783</v>
      </c>
      <c r="N601" s="113">
        <f>VLOOKUP(A601,[3]RESUMEN!$A:$AI,35,1)</f>
        <v>0.59980832448160437</v>
      </c>
    </row>
    <row r="602" spans="1:14" x14ac:dyDescent="0.25">
      <c r="A602" s="102">
        <v>41845</v>
      </c>
      <c r="B602">
        <v>23.486000000000001</v>
      </c>
      <c r="C602">
        <v>30.837</v>
      </c>
      <c r="D602">
        <v>45.337000000000003</v>
      </c>
      <c r="E602">
        <v>84.878</v>
      </c>
      <c r="F602">
        <v>0.09</v>
      </c>
      <c r="G602">
        <v>0.17249999999999999</v>
      </c>
      <c r="H602">
        <v>0.52500000000000002</v>
      </c>
      <c r="I602">
        <v>0.95699999999999996</v>
      </c>
      <c r="J602">
        <v>1.5880000000000001</v>
      </c>
      <c r="K602">
        <v>5.5457103387149154E-2</v>
      </c>
      <c r="L602" s="112">
        <f>VLOOKUP(A602,[3]RESUMEN!$A:$AE,31,1)</f>
        <v>0.20766709993565094</v>
      </c>
      <c r="M602" s="113">
        <f>VLOOKUP(A602,[3]RESUMEN!$A:$AH,34,1)</f>
        <v>0.99194954902755783</v>
      </c>
      <c r="N602" s="113">
        <f>VLOOKUP(A602,[3]RESUMEN!$A:$AI,35,1)</f>
        <v>0.59980832448160437</v>
      </c>
    </row>
    <row r="603" spans="1:14" x14ac:dyDescent="0.25">
      <c r="A603" s="102">
        <v>41852</v>
      </c>
      <c r="B603">
        <v>29.712</v>
      </c>
      <c r="C603">
        <v>41.743000000000002</v>
      </c>
      <c r="D603">
        <v>54.765000000000001</v>
      </c>
      <c r="E603">
        <v>94.811000000000007</v>
      </c>
      <c r="F603">
        <v>0.09</v>
      </c>
      <c r="G603">
        <v>0.17199999999999999</v>
      </c>
      <c r="H603">
        <v>0.51200000000000001</v>
      </c>
      <c r="I603">
        <v>0.94099999999999995</v>
      </c>
      <c r="J603">
        <v>1.5859999999999999</v>
      </c>
      <c r="K603">
        <v>6.1366453382916242E-2</v>
      </c>
      <c r="L603" s="112">
        <f>VLOOKUP(A603,[3]RESUMEN!$A:$AE,31,1)</f>
        <v>0.20766709993565094</v>
      </c>
      <c r="M603" s="113">
        <f>VLOOKUP(A603,[3]RESUMEN!$A:$AH,34,1)</f>
        <v>0.99194954902755783</v>
      </c>
      <c r="N603" s="113">
        <f>VLOOKUP(A603,[3]RESUMEN!$A:$AI,35,1)</f>
        <v>0.59980832448160437</v>
      </c>
    </row>
    <row r="604" spans="1:14" x14ac:dyDescent="0.25">
      <c r="A604" s="102">
        <v>41859</v>
      </c>
      <c r="B604">
        <v>29.942</v>
      </c>
      <c r="C604">
        <v>42.417999999999999</v>
      </c>
      <c r="D604">
        <v>57.081000000000003</v>
      </c>
      <c r="E604">
        <v>93.846000000000004</v>
      </c>
      <c r="F604">
        <v>0.09</v>
      </c>
      <c r="G604">
        <v>0.17100000000000001</v>
      </c>
      <c r="H604">
        <v>0.50700000000000001</v>
      </c>
      <c r="I604">
        <v>0.93049999999999999</v>
      </c>
      <c r="J604">
        <v>1.571</v>
      </c>
      <c r="K604">
        <v>6.1366453382916242E-2</v>
      </c>
      <c r="L604" s="112">
        <f>VLOOKUP(A604,[3]RESUMEN!$A:$AE,31,1)</f>
        <v>0.20766709993565094</v>
      </c>
      <c r="M604" s="113">
        <f>VLOOKUP(A604,[3]RESUMEN!$A:$AH,34,1)</f>
        <v>0.99194954902755783</v>
      </c>
      <c r="N604" s="113">
        <f>VLOOKUP(A604,[3]RESUMEN!$A:$AI,35,1)</f>
        <v>0.59980832448160437</v>
      </c>
    </row>
    <row r="605" spans="1:14" x14ac:dyDescent="0.25">
      <c r="A605" s="102">
        <v>41866</v>
      </c>
      <c r="B605">
        <v>22.495000000000001</v>
      </c>
      <c r="C605">
        <v>31.239000000000001</v>
      </c>
      <c r="D605">
        <v>45.265999999999998</v>
      </c>
      <c r="E605">
        <v>79.835999999999999</v>
      </c>
      <c r="F605">
        <v>0.09</v>
      </c>
      <c r="G605">
        <v>0.156</v>
      </c>
      <c r="H605">
        <v>0.47149999999999997</v>
      </c>
      <c r="I605">
        <v>0.872</v>
      </c>
      <c r="J605">
        <v>1.4910000000000001</v>
      </c>
      <c r="K605">
        <v>5.220489398972783E-2</v>
      </c>
      <c r="L605" s="112">
        <f>VLOOKUP(A605,[3]RESUMEN!$A:$AE,31,1)</f>
        <v>0.20766709993565094</v>
      </c>
      <c r="M605" s="113">
        <f>VLOOKUP(A605,[3]RESUMEN!$A:$AH,34,1)</f>
        <v>0.99194954902755783</v>
      </c>
      <c r="N605" s="113">
        <f>VLOOKUP(A605,[3]RESUMEN!$A:$AI,35,1)</f>
        <v>0.59980832448160437</v>
      </c>
    </row>
    <row r="606" spans="1:14" x14ac:dyDescent="0.25">
      <c r="A606" s="102">
        <v>41873</v>
      </c>
      <c r="B606">
        <v>21.373000000000001</v>
      </c>
      <c r="C606">
        <v>27.332000000000001</v>
      </c>
      <c r="D606">
        <v>42.311</v>
      </c>
      <c r="E606">
        <v>78.171000000000006</v>
      </c>
      <c r="F606">
        <v>0.09</v>
      </c>
      <c r="G606">
        <v>0.17899999999999999</v>
      </c>
      <c r="H606">
        <v>0.53600000000000003</v>
      </c>
      <c r="I606">
        <v>0.96699999999999997</v>
      </c>
      <c r="J606">
        <v>1.589</v>
      </c>
      <c r="K606">
        <v>5.1696579063617909E-2</v>
      </c>
      <c r="L606" s="112">
        <f>VLOOKUP(A606,[3]RESUMEN!$A:$AE,31,1)</f>
        <v>0.20766709993565094</v>
      </c>
      <c r="M606" s="113">
        <f>VLOOKUP(A606,[3]RESUMEN!$A:$AH,34,1)</f>
        <v>0.99194954902755783</v>
      </c>
      <c r="N606" s="113">
        <f>VLOOKUP(A606,[3]RESUMEN!$A:$AI,35,1)</f>
        <v>0.59980832448160437</v>
      </c>
    </row>
    <row r="607" spans="1:14" x14ac:dyDescent="0.25">
      <c r="A607" s="102">
        <v>41880</v>
      </c>
      <c r="B607">
        <v>20.178999999999998</v>
      </c>
      <c r="C607">
        <v>28.245999999999999</v>
      </c>
      <c r="D607">
        <v>42.531999999999996</v>
      </c>
      <c r="E607">
        <v>78.128</v>
      </c>
      <c r="F607">
        <v>7.0000000000000007E-2</v>
      </c>
      <c r="G607">
        <v>0.18099999999999999</v>
      </c>
      <c r="H607">
        <v>0.54349999999999998</v>
      </c>
      <c r="I607">
        <v>0.96399999999999997</v>
      </c>
      <c r="J607">
        <v>1.554</v>
      </c>
      <c r="K607">
        <v>5.1696579063617909E-2</v>
      </c>
      <c r="L607" s="112">
        <f>VLOOKUP(A607,[3]RESUMEN!$A:$AE,31,1)</f>
        <v>0.20766709993565094</v>
      </c>
      <c r="M607" s="113">
        <f>VLOOKUP(A607,[3]RESUMEN!$A:$AH,34,1)</f>
        <v>0.99194954902755783</v>
      </c>
      <c r="N607" s="113">
        <f>VLOOKUP(A607,[3]RESUMEN!$A:$AI,35,1)</f>
        <v>0.59980832448160437</v>
      </c>
    </row>
    <row r="608" spans="1:14" x14ac:dyDescent="0.25">
      <c r="A608" s="102">
        <v>41887</v>
      </c>
      <c r="B608">
        <v>21.84</v>
      </c>
      <c r="C608">
        <v>30.553000000000001</v>
      </c>
      <c r="D608">
        <v>44.518000000000001</v>
      </c>
      <c r="E608">
        <v>80.995999999999995</v>
      </c>
      <c r="F608">
        <v>0.09</v>
      </c>
      <c r="G608">
        <v>0.184</v>
      </c>
      <c r="H608">
        <v>0.54600000000000004</v>
      </c>
      <c r="I608">
        <v>0.97499999999999998</v>
      </c>
      <c r="J608">
        <v>1.5979999999999999</v>
      </c>
      <c r="K608">
        <v>5.2963327078278111E-2</v>
      </c>
      <c r="L608" s="112">
        <f>VLOOKUP(A608,[3]RESUMEN!$A:$AE,31,1)</f>
        <v>0.20766709993565094</v>
      </c>
      <c r="M608" s="113">
        <f>VLOOKUP(A608,[3]RESUMEN!$A:$AH,34,1)</f>
        <v>0.99194954902755783</v>
      </c>
      <c r="N608" s="113">
        <f>VLOOKUP(A608,[3]RESUMEN!$A:$AI,35,1)</f>
        <v>0.59980832448160437</v>
      </c>
    </row>
    <row r="609" spans="1:14" x14ac:dyDescent="0.25">
      <c r="A609" s="102">
        <v>41894</v>
      </c>
      <c r="B609">
        <v>28.295000000000002</v>
      </c>
      <c r="C609">
        <v>37.17</v>
      </c>
      <c r="D609">
        <v>52.837000000000003</v>
      </c>
      <c r="E609">
        <v>94.106999999999999</v>
      </c>
      <c r="F609">
        <v>0.09</v>
      </c>
      <c r="G609">
        <v>0.21299999999999999</v>
      </c>
      <c r="H609">
        <v>0.625</v>
      </c>
      <c r="I609">
        <v>1.0820000000000001</v>
      </c>
      <c r="J609">
        <v>1.748</v>
      </c>
      <c r="K609">
        <v>6.1293145847956754E-2</v>
      </c>
      <c r="L609" s="112">
        <f>VLOOKUP(A609,[3]RESUMEN!$A:$AE,31,1)</f>
        <v>0.20766709993565094</v>
      </c>
      <c r="M609" s="113">
        <f>VLOOKUP(A609,[3]RESUMEN!$A:$AH,34,1)</f>
        <v>0.99194954902755783</v>
      </c>
      <c r="N609" s="113">
        <f>VLOOKUP(A609,[3]RESUMEN!$A:$AI,35,1)</f>
        <v>0.59980832448160437</v>
      </c>
    </row>
    <row r="610" spans="1:14" x14ac:dyDescent="0.25">
      <c r="A610" s="102">
        <v>41901</v>
      </c>
      <c r="B610">
        <v>26.654</v>
      </c>
      <c r="C610">
        <v>38.457999999999998</v>
      </c>
      <c r="D610">
        <v>50.61</v>
      </c>
      <c r="E610">
        <v>87.003</v>
      </c>
      <c r="F610">
        <v>0.09</v>
      </c>
      <c r="G610">
        <v>0.20949999999999999</v>
      </c>
      <c r="H610">
        <v>0.63</v>
      </c>
      <c r="I610">
        <v>1.103</v>
      </c>
      <c r="J610">
        <v>1.762</v>
      </c>
      <c r="K610">
        <v>5.6756652599174506E-2</v>
      </c>
      <c r="L610" s="112">
        <f>VLOOKUP(A610,[3]RESUMEN!$A:$AE,31,1)</f>
        <v>0.20766709993565094</v>
      </c>
      <c r="M610" s="113">
        <f>VLOOKUP(A610,[3]RESUMEN!$A:$AH,34,1)</f>
        <v>0.99194954902755783</v>
      </c>
      <c r="N610" s="113">
        <f>VLOOKUP(A610,[3]RESUMEN!$A:$AI,35,1)</f>
        <v>0.59980832448160437</v>
      </c>
    </row>
    <row r="611" spans="1:14" x14ac:dyDescent="0.25">
      <c r="A611" s="102">
        <v>41908</v>
      </c>
      <c r="B611">
        <v>28.753</v>
      </c>
      <c r="C611">
        <v>42.04</v>
      </c>
      <c r="D611">
        <v>57.985999999999997</v>
      </c>
      <c r="E611">
        <v>95.878</v>
      </c>
      <c r="F611">
        <v>0.09</v>
      </c>
      <c r="G611">
        <v>0.20100000000000001</v>
      </c>
      <c r="H611">
        <v>0.63300000000000001</v>
      </c>
      <c r="I611">
        <v>1.0980000000000001</v>
      </c>
      <c r="J611">
        <v>1.7290000000000001</v>
      </c>
      <c r="K611">
        <v>6.2373728685762075E-2</v>
      </c>
      <c r="L611" s="112">
        <f>VLOOKUP(A611,[3]RESUMEN!$A:$AE,31,1)</f>
        <v>0.20766709993565094</v>
      </c>
      <c r="M611" s="113">
        <f>VLOOKUP(A611,[3]RESUMEN!$A:$AH,34,1)</f>
        <v>0.99194954902755783</v>
      </c>
      <c r="N611" s="113">
        <f>VLOOKUP(A611,[3]RESUMEN!$A:$AI,35,1)</f>
        <v>0.59980832448160437</v>
      </c>
    </row>
    <row r="612" spans="1:14" x14ac:dyDescent="0.25">
      <c r="A612" s="102">
        <v>41915</v>
      </c>
      <c r="B612">
        <v>34.097000000000001</v>
      </c>
      <c r="C612">
        <v>48.781999999999996</v>
      </c>
      <c r="D612">
        <v>63.929000000000002</v>
      </c>
      <c r="E612">
        <v>101.831</v>
      </c>
      <c r="F612">
        <v>0.09</v>
      </c>
      <c r="G612">
        <v>0.20100000000000001</v>
      </c>
      <c r="H612">
        <v>0.63649999999999995</v>
      </c>
      <c r="I612">
        <v>1.0940000000000001</v>
      </c>
      <c r="J612">
        <v>1.6800000000000002</v>
      </c>
      <c r="K612">
        <v>6.6100641904239477E-2</v>
      </c>
      <c r="L612" s="112">
        <f>VLOOKUP(A612,[3]RESUMEN!$A:$AE,31,1)</f>
        <v>0.24382699705150662</v>
      </c>
      <c r="M612" s="113">
        <f>VLOOKUP(A612,[3]RESUMEN!$A:$AH,34,1)</f>
        <v>0.65146482286091345</v>
      </c>
      <c r="N612" s="113">
        <f>VLOOKUP(A612,[3]RESUMEN!$A:$AI,35,1)</f>
        <v>0.44764590995621001</v>
      </c>
    </row>
    <row r="613" spans="1:14" x14ac:dyDescent="0.25">
      <c r="A613" s="102">
        <v>41922</v>
      </c>
      <c r="B613">
        <v>33.222999999999999</v>
      </c>
      <c r="C613">
        <v>47.003</v>
      </c>
      <c r="D613">
        <v>62.17</v>
      </c>
      <c r="E613">
        <v>99.003</v>
      </c>
      <c r="F613">
        <v>0.09</v>
      </c>
      <c r="G613">
        <v>0.157</v>
      </c>
      <c r="H613">
        <v>0.51600000000000001</v>
      </c>
      <c r="I613">
        <v>0.91800000000000004</v>
      </c>
      <c r="J613">
        <v>1.478</v>
      </c>
      <c r="K613">
        <v>6.431919071308434E-2</v>
      </c>
      <c r="L613" s="112">
        <f>VLOOKUP(A613,[3]RESUMEN!$A:$AE,31,1)</f>
        <v>0.24382699705150662</v>
      </c>
      <c r="M613" s="113">
        <f>VLOOKUP(A613,[3]RESUMEN!$A:$AH,34,1)</f>
        <v>0.65146482286091345</v>
      </c>
      <c r="N613" s="113">
        <f>VLOOKUP(A613,[3]RESUMEN!$A:$AI,35,1)</f>
        <v>0.44764590995621001</v>
      </c>
    </row>
    <row r="614" spans="1:14" x14ac:dyDescent="0.25">
      <c r="A614" s="102">
        <v>41929</v>
      </c>
      <c r="B614">
        <v>35.024999999999999</v>
      </c>
      <c r="C614">
        <v>48.470999999999997</v>
      </c>
      <c r="D614">
        <v>63.398000000000003</v>
      </c>
      <c r="E614">
        <v>99.688000000000002</v>
      </c>
      <c r="F614">
        <v>0.09</v>
      </c>
      <c r="G614">
        <v>0.151</v>
      </c>
      <c r="H614">
        <v>0.443</v>
      </c>
      <c r="I614">
        <v>0.80500000000000005</v>
      </c>
      <c r="J614">
        <v>1.3660000000000001</v>
      </c>
      <c r="K614">
        <v>6.431919071308434E-2</v>
      </c>
      <c r="L614" s="112">
        <f>VLOOKUP(A614,[3]RESUMEN!$A:$AE,31,1)</f>
        <v>0.24382699705150662</v>
      </c>
      <c r="M614" s="113">
        <f>VLOOKUP(A614,[3]RESUMEN!$A:$AH,34,1)</f>
        <v>0.65146482286091345</v>
      </c>
      <c r="N614" s="113">
        <f>VLOOKUP(A614,[3]RESUMEN!$A:$AI,35,1)</f>
        <v>0.44764590995621001</v>
      </c>
    </row>
    <row r="615" spans="1:14" x14ac:dyDescent="0.25">
      <c r="A615" s="102">
        <v>41936</v>
      </c>
      <c r="B615">
        <v>30.841000000000001</v>
      </c>
      <c r="C615">
        <v>43.296999999999997</v>
      </c>
      <c r="D615">
        <v>58.04</v>
      </c>
      <c r="E615">
        <v>93.183000000000007</v>
      </c>
      <c r="F615">
        <v>0.09</v>
      </c>
      <c r="G615">
        <v>0.14249999999999999</v>
      </c>
      <c r="H615">
        <v>0.45400000000000001</v>
      </c>
      <c r="I615">
        <v>0.84099999999999997</v>
      </c>
      <c r="J615">
        <v>1.431</v>
      </c>
      <c r="K615">
        <v>6.0645623136146187E-2</v>
      </c>
      <c r="L615" s="112">
        <f>VLOOKUP(A615,[3]RESUMEN!$A:$AE,31,1)</f>
        <v>0.24382699705150662</v>
      </c>
      <c r="M615" s="113">
        <f>VLOOKUP(A615,[3]RESUMEN!$A:$AH,34,1)</f>
        <v>0.65146482286091345</v>
      </c>
      <c r="N615" s="113">
        <f>VLOOKUP(A615,[3]RESUMEN!$A:$AI,35,1)</f>
        <v>0.44764590995621001</v>
      </c>
    </row>
    <row r="616" spans="1:14" x14ac:dyDescent="0.25">
      <c r="A616" s="102">
        <v>41943</v>
      </c>
      <c r="B616">
        <v>25.988</v>
      </c>
      <c r="C616">
        <v>37.167000000000002</v>
      </c>
      <c r="D616">
        <v>52.167999999999999</v>
      </c>
      <c r="E616">
        <v>88.25</v>
      </c>
      <c r="F616">
        <v>7.0000000000000007E-2</v>
      </c>
      <c r="G616">
        <v>0.17799999999999999</v>
      </c>
      <c r="H616">
        <v>0.53300000000000003</v>
      </c>
      <c r="I616">
        <v>0.9405</v>
      </c>
      <c r="J616">
        <v>1.5270000000000001</v>
      </c>
      <c r="K616">
        <v>5.7551146358432725E-2</v>
      </c>
      <c r="L616" s="112">
        <f>VLOOKUP(A616,[3]RESUMEN!$A:$AE,31,1)</f>
        <v>0.24382699705150662</v>
      </c>
      <c r="M616" s="113">
        <f>VLOOKUP(A616,[3]RESUMEN!$A:$AH,34,1)</f>
        <v>0.65146482286091345</v>
      </c>
      <c r="N616" s="113">
        <f>VLOOKUP(A616,[3]RESUMEN!$A:$AI,35,1)</f>
        <v>0.44764590995621001</v>
      </c>
    </row>
    <row r="617" spans="1:14" x14ac:dyDescent="0.25">
      <c r="A617" s="102">
        <v>41950</v>
      </c>
      <c r="B617">
        <v>29.48</v>
      </c>
      <c r="C617">
        <v>42.404000000000003</v>
      </c>
      <c r="D617">
        <v>59.323999999999998</v>
      </c>
      <c r="E617">
        <v>96.68</v>
      </c>
      <c r="F617">
        <v>0.09</v>
      </c>
      <c r="G617">
        <v>0.1875</v>
      </c>
      <c r="H617">
        <v>0.54500000000000004</v>
      </c>
      <c r="I617">
        <v>0.94099999999999995</v>
      </c>
      <c r="J617">
        <v>1.51</v>
      </c>
      <c r="K617">
        <v>6.2875000041536566E-2</v>
      </c>
      <c r="L617" s="112">
        <f>VLOOKUP(A617,[3]RESUMEN!$A:$AE,31,1)</f>
        <v>0.24382699705150662</v>
      </c>
      <c r="M617" s="113">
        <f>VLOOKUP(A617,[3]RESUMEN!$A:$AH,34,1)</f>
        <v>0.65146482286091345</v>
      </c>
      <c r="N617" s="113">
        <f>VLOOKUP(A617,[3]RESUMEN!$A:$AI,35,1)</f>
        <v>0.44764590995621001</v>
      </c>
    </row>
    <row r="618" spans="1:14" x14ac:dyDescent="0.25">
      <c r="A618" s="102">
        <v>41957</v>
      </c>
      <c r="B618">
        <v>34.676000000000002</v>
      </c>
      <c r="C618">
        <v>50.661999999999999</v>
      </c>
      <c r="D618">
        <v>66.281000000000006</v>
      </c>
      <c r="E618">
        <v>104.163</v>
      </c>
      <c r="F618">
        <v>0.09</v>
      </c>
      <c r="G618">
        <v>0.19950000000000001</v>
      </c>
      <c r="H618">
        <v>0.56499999999999995</v>
      </c>
      <c r="I618">
        <v>0.96499999999999997</v>
      </c>
      <c r="J618">
        <v>1.53</v>
      </c>
      <c r="K618">
        <v>6.756175564870559E-2</v>
      </c>
      <c r="L618" s="112">
        <f>VLOOKUP(A618,[3]RESUMEN!$A:$AE,31,1)</f>
        <v>0.24382699705150662</v>
      </c>
      <c r="M618" s="113">
        <f>VLOOKUP(A618,[3]RESUMEN!$A:$AH,34,1)</f>
        <v>0.65146482286091345</v>
      </c>
      <c r="N618" s="113">
        <f>VLOOKUP(A618,[3]RESUMEN!$A:$AI,35,1)</f>
        <v>0.44764590995621001</v>
      </c>
    </row>
    <row r="619" spans="1:14" x14ac:dyDescent="0.25">
      <c r="A619" s="102">
        <v>41964</v>
      </c>
      <c r="B619">
        <v>35.984999999999999</v>
      </c>
      <c r="C619">
        <v>51.033000000000001</v>
      </c>
      <c r="D619">
        <v>66.533000000000001</v>
      </c>
      <c r="E619">
        <v>104.828</v>
      </c>
      <c r="F619">
        <v>0.1</v>
      </c>
      <c r="G619">
        <v>0.20599999999999999</v>
      </c>
      <c r="H619">
        <v>0.56100000000000005</v>
      </c>
      <c r="I619">
        <v>0.95299999999999996</v>
      </c>
      <c r="J619">
        <v>1.528</v>
      </c>
      <c r="K619">
        <v>6.756175564870559E-2</v>
      </c>
      <c r="L619" s="112">
        <f>VLOOKUP(A619,[3]RESUMEN!$A:$AE,31,1)</f>
        <v>0.24382699705150662</v>
      </c>
      <c r="M619" s="113">
        <f>VLOOKUP(A619,[3]RESUMEN!$A:$AH,34,1)</f>
        <v>0.65146482286091345</v>
      </c>
      <c r="N619" s="113">
        <f>VLOOKUP(A619,[3]RESUMEN!$A:$AI,35,1)</f>
        <v>0.44764590995621001</v>
      </c>
    </row>
    <row r="620" spans="1:14" x14ac:dyDescent="0.25">
      <c r="A620" s="102">
        <v>41971</v>
      </c>
      <c r="B620">
        <v>33.052999999999997</v>
      </c>
      <c r="C620">
        <v>47.37</v>
      </c>
      <c r="D620">
        <v>62.436</v>
      </c>
      <c r="E620">
        <v>99.165999999999997</v>
      </c>
      <c r="F620">
        <v>0.08</v>
      </c>
      <c r="G620">
        <v>0.2</v>
      </c>
      <c r="H620">
        <v>0.53300000000000003</v>
      </c>
      <c r="I620">
        <v>0.9</v>
      </c>
      <c r="J620">
        <v>1.41</v>
      </c>
      <c r="K620">
        <v>6.4420200577474995E-2</v>
      </c>
      <c r="L620" s="112">
        <f>VLOOKUP(A620,[3]RESUMEN!$A:$AE,31,1)</f>
        <v>0.24382699705150662</v>
      </c>
      <c r="M620" s="113">
        <f>VLOOKUP(A620,[3]RESUMEN!$A:$AH,34,1)</f>
        <v>0.65146482286091345</v>
      </c>
      <c r="N620" s="113">
        <f>VLOOKUP(A620,[3]RESUMEN!$A:$AI,35,1)</f>
        <v>0.44764590995621001</v>
      </c>
    </row>
    <row r="621" spans="1:14" x14ac:dyDescent="0.25">
      <c r="A621" s="102">
        <v>41978</v>
      </c>
      <c r="B621">
        <v>42.024999999999999</v>
      </c>
      <c r="C621">
        <v>56.116999999999997</v>
      </c>
      <c r="D621">
        <v>75.328000000000003</v>
      </c>
      <c r="E621">
        <v>114.86799999999999</v>
      </c>
      <c r="F621">
        <v>0.12</v>
      </c>
      <c r="G621">
        <v>0.26950000000000002</v>
      </c>
      <c r="H621">
        <v>0.68899999999999995</v>
      </c>
      <c r="I621">
        <v>1.093</v>
      </c>
      <c r="J621">
        <v>1.601</v>
      </c>
      <c r="K621">
        <v>7.4248929187267554E-2</v>
      </c>
      <c r="L621" s="112">
        <f>VLOOKUP(A621,[3]RESUMEN!$A:$AE,31,1)</f>
        <v>0.24382699705150662</v>
      </c>
      <c r="M621" s="113">
        <f>VLOOKUP(A621,[3]RESUMEN!$A:$AH,34,1)</f>
        <v>0.65146482286091345</v>
      </c>
      <c r="N621" s="113">
        <f>VLOOKUP(A621,[3]RESUMEN!$A:$AI,35,1)</f>
        <v>0.44764590995621001</v>
      </c>
    </row>
    <row r="622" spans="1:14" x14ac:dyDescent="0.25">
      <c r="A622" s="102">
        <v>41985</v>
      </c>
      <c r="B622">
        <v>68.786000000000001</v>
      </c>
      <c r="C622">
        <v>90.289000000000001</v>
      </c>
      <c r="D622">
        <v>116.54600000000001</v>
      </c>
      <c r="E622">
        <v>165.18199999999999</v>
      </c>
      <c r="F622">
        <v>0.12</v>
      </c>
      <c r="G622">
        <v>0.23699999999999999</v>
      </c>
      <c r="H622">
        <v>0.60099999999999998</v>
      </c>
      <c r="I622">
        <v>0.97299999999999998</v>
      </c>
      <c r="J622">
        <v>1.4359999999999999</v>
      </c>
      <c r="K622">
        <v>0.10505239431778401</v>
      </c>
      <c r="L622" s="112">
        <f>VLOOKUP(A622,[3]RESUMEN!$A:$AE,31,1)</f>
        <v>0.24382699705150662</v>
      </c>
      <c r="M622" s="113">
        <f>VLOOKUP(A622,[3]RESUMEN!$A:$AH,34,1)</f>
        <v>0.65146482286091345</v>
      </c>
      <c r="N622" s="113">
        <f>VLOOKUP(A622,[3]RESUMEN!$A:$AI,35,1)</f>
        <v>0.44764590995621001</v>
      </c>
    </row>
    <row r="623" spans="1:14" x14ac:dyDescent="0.25">
      <c r="A623" s="102">
        <v>41992</v>
      </c>
      <c r="B623">
        <v>44.683</v>
      </c>
      <c r="C623">
        <v>83.882999999999996</v>
      </c>
      <c r="D623">
        <v>82.400999999999996</v>
      </c>
      <c r="E623">
        <v>125.688</v>
      </c>
      <c r="F623">
        <v>0.13</v>
      </c>
      <c r="G623">
        <v>0.28799999999999998</v>
      </c>
      <c r="H623">
        <v>0.69799999999999995</v>
      </c>
      <c r="I623">
        <v>1.085</v>
      </c>
      <c r="J623">
        <v>1.554</v>
      </c>
      <c r="K623">
        <v>8.0835519671746736E-2</v>
      </c>
      <c r="L623" s="112">
        <f>VLOOKUP(A623,[3]RESUMEN!$A:$AE,31,1)</f>
        <v>0.24382699705150662</v>
      </c>
      <c r="M623" s="113">
        <f>VLOOKUP(A623,[3]RESUMEN!$A:$AH,34,1)</f>
        <v>0.65146482286091345</v>
      </c>
      <c r="N623" s="113">
        <f>VLOOKUP(A623,[3]RESUMEN!$A:$AI,35,1)</f>
        <v>0.44764590995621001</v>
      </c>
    </row>
    <row r="624" spans="1:14" x14ac:dyDescent="0.25">
      <c r="A624" s="102">
        <v>41999</v>
      </c>
      <c r="B624">
        <v>51.243000000000002</v>
      </c>
      <c r="C624">
        <v>70.33</v>
      </c>
      <c r="D624">
        <v>87.435000000000002</v>
      </c>
      <c r="E624">
        <v>130.00200000000001</v>
      </c>
      <c r="F624">
        <v>0.13</v>
      </c>
      <c r="G624">
        <v>0.30399999999999999</v>
      </c>
      <c r="H624">
        <v>0.749</v>
      </c>
      <c r="I624">
        <v>1.1439999999999999</v>
      </c>
      <c r="J624">
        <v>1.631</v>
      </c>
      <c r="K624">
        <v>8.3614811152254553E-2</v>
      </c>
      <c r="L624" s="112">
        <f>VLOOKUP(A624,[3]RESUMEN!$A:$AE,31,1)</f>
        <v>0.24382699705150662</v>
      </c>
      <c r="M624" s="113">
        <f>VLOOKUP(A624,[3]RESUMEN!$A:$AH,34,1)</f>
        <v>0.65146482286091345</v>
      </c>
      <c r="N624" s="113">
        <f>VLOOKUP(A624,[3]RESUMEN!$A:$AI,35,1)</f>
        <v>0.44764590995621001</v>
      </c>
    </row>
    <row r="625" spans="1:14" x14ac:dyDescent="0.25">
      <c r="A625" s="102">
        <v>42006</v>
      </c>
      <c r="B625">
        <v>67.825999999999993</v>
      </c>
      <c r="C625">
        <v>85.629000000000005</v>
      </c>
      <c r="D625">
        <v>103.14700000000001</v>
      </c>
      <c r="E625">
        <v>144.21299999999999</v>
      </c>
      <c r="F625">
        <v>0.12</v>
      </c>
      <c r="G625">
        <v>0.30299999999999999</v>
      </c>
      <c r="H625">
        <v>0.71499999999999997</v>
      </c>
      <c r="I625">
        <v>1.073</v>
      </c>
      <c r="J625">
        <v>1.502</v>
      </c>
      <c r="K625">
        <v>9.2250617787730915E-2</v>
      </c>
      <c r="L625" s="112">
        <f>VLOOKUP(A625,[3]RESUMEN!$A:$AE,31,1)</f>
        <v>0.33367199564291672</v>
      </c>
      <c r="M625" s="113">
        <f>VLOOKUP(A625,[3]RESUMEN!$A:$AH,34,1)</f>
        <v>0.38495128337075096</v>
      </c>
      <c r="N625" s="113">
        <f>VLOOKUP(A625,[3]RESUMEN!$A:$AI,35,1)</f>
        <v>0.35931163950683387</v>
      </c>
    </row>
    <row r="626" spans="1:14" x14ac:dyDescent="0.25">
      <c r="A626" s="102">
        <v>42013</v>
      </c>
      <c r="B626">
        <v>71.260000000000005</v>
      </c>
      <c r="C626">
        <v>100.967</v>
      </c>
      <c r="D626">
        <v>121.508</v>
      </c>
      <c r="E626">
        <v>164.41499999999999</v>
      </c>
      <c r="F626">
        <v>0.12</v>
      </c>
      <c r="G626">
        <v>0.26</v>
      </c>
      <c r="H626">
        <v>0.61399999999999999</v>
      </c>
      <c r="I626">
        <v>0.93400000000000005</v>
      </c>
      <c r="J626">
        <v>1.34</v>
      </c>
      <c r="K626">
        <v>0.10450615300741162</v>
      </c>
      <c r="L626" s="112">
        <f>VLOOKUP(A626,[3]RESUMEN!$A:$AE,31,1)</f>
        <v>0.33367199564291672</v>
      </c>
      <c r="M626" s="113">
        <f>VLOOKUP(A626,[3]RESUMEN!$A:$AH,34,1)</f>
        <v>0.38495128337075096</v>
      </c>
      <c r="N626" s="113">
        <f>VLOOKUP(A626,[3]RESUMEN!$A:$AI,35,1)</f>
        <v>0.35931163950683387</v>
      </c>
    </row>
    <row r="627" spans="1:14" x14ac:dyDescent="0.25">
      <c r="A627" s="102">
        <v>42020</v>
      </c>
      <c r="B627">
        <v>78.433999999999997</v>
      </c>
      <c r="C627">
        <v>107.63200000000001</v>
      </c>
      <c r="D627">
        <v>128.023</v>
      </c>
      <c r="E627">
        <v>171.99600000000001</v>
      </c>
      <c r="F627">
        <v>0.13</v>
      </c>
      <c r="G627">
        <v>0.24</v>
      </c>
      <c r="H627">
        <v>0.54600000000000004</v>
      </c>
      <c r="I627">
        <v>0.83</v>
      </c>
      <c r="J627">
        <v>1.2315</v>
      </c>
      <c r="K627">
        <v>0.10905178845197239</v>
      </c>
      <c r="L627" s="112">
        <f>VLOOKUP(A627,[3]RESUMEN!$A:$AE,31,1)</f>
        <v>0.33367199564291672</v>
      </c>
      <c r="M627" s="113">
        <f>VLOOKUP(A627,[3]RESUMEN!$A:$AH,34,1)</f>
        <v>0.38495128337075096</v>
      </c>
      <c r="N627" s="113">
        <f>VLOOKUP(A627,[3]RESUMEN!$A:$AI,35,1)</f>
        <v>0.35931163950683387</v>
      </c>
    </row>
    <row r="628" spans="1:14" x14ac:dyDescent="0.25">
      <c r="A628" s="102">
        <v>42027</v>
      </c>
      <c r="B628">
        <v>76.320999999999998</v>
      </c>
      <c r="C628">
        <v>106.095</v>
      </c>
      <c r="D628">
        <v>127.599</v>
      </c>
      <c r="E628">
        <v>169.49</v>
      </c>
      <c r="F628">
        <v>0.12</v>
      </c>
      <c r="G628">
        <v>0.25</v>
      </c>
      <c r="H628">
        <v>0.57450000000000001</v>
      </c>
      <c r="I628">
        <v>0.86899999999999999</v>
      </c>
      <c r="J628">
        <v>1.248</v>
      </c>
      <c r="K628">
        <v>0.10802242548195629</v>
      </c>
      <c r="L628" s="112">
        <f>VLOOKUP(A628,[3]RESUMEN!$A:$AE,31,1)</f>
        <v>0.33367199564291672</v>
      </c>
      <c r="M628" s="113">
        <f>VLOOKUP(A628,[3]RESUMEN!$A:$AH,34,1)</f>
        <v>0.38495128337075096</v>
      </c>
      <c r="N628" s="113">
        <f>VLOOKUP(A628,[3]RESUMEN!$A:$AI,35,1)</f>
        <v>0.35931163950683387</v>
      </c>
    </row>
    <row r="629" spans="1:14" x14ac:dyDescent="0.25">
      <c r="A629" s="102">
        <v>42034</v>
      </c>
      <c r="B629">
        <v>75.625</v>
      </c>
      <c r="C629">
        <v>102.253</v>
      </c>
      <c r="D629">
        <v>125.867</v>
      </c>
      <c r="E629">
        <v>167.79499999999999</v>
      </c>
      <c r="F629">
        <v>0.06</v>
      </c>
      <c r="G629">
        <v>0.24399999999999999</v>
      </c>
      <c r="H629">
        <v>0.51349999999999996</v>
      </c>
      <c r="I629">
        <v>0.76100000000000001</v>
      </c>
      <c r="J629">
        <v>1.1060000000000001</v>
      </c>
      <c r="K629">
        <v>0.10700218464452127</v>
      </c>
      <c r="L629" s="112">
        <f>VLOOKUP(A629,[3]RESUMEN!$A:$AE,31,1)</f>
        <v>0.33367199564291672</v>
      </c>
      <c r="M629" s="113">
        <f>VLOOKUP(A629,[3]RESUMEN!$A:$AH,34,1)</f>
        <v>0.38495128337075096</v>
      </c>
      <c r="N629" s="113">
        <f>VLOOKUP(A629,[3]RESUMEN!$A:$AI,35,1)</f>
        <v>0.35931163950683387</v>
      </c>
    </row>
    <row r="630" spans="1:14" x14ac:dyDescent="0.25">
      <c r="A630" s="102">
        <v>42041</v>
      </c>
      <c r="B630">
        <v>62.366</v>
      </c>
      <c r="C630">
        <v>85.298000000000002</v>
      </c>
      <c r="D630">
        <v>104.788</v>
      </c>
      <c r="E630">
        <v>144.58199999999999</v>
      </c>
      <c r="F630">
        <v>0.11</v>
      </c>
      <c r="G630">
        <v>0.33600000000000002</v>
      </c>
      <c r="H630">
        <v>0.71699999999999997</v>
      </c>
      <c r="I630">
        <v>1.0329999999999999</v>
      </c>
      <c r="J630">
        <v>1.419</v>
      </c>
      <c r="K630">
        <v>9.2480374031391421E-2</v>
      </c>
      <c r="L630" s="112">
        <f>VLOOKUP(A630,[3]RESUMEN!$A:$AE,31,1)</f>
        <v>0.33367199564291672</v>
      </c>
      <c r="M630" s="113">
        <f>VLOOKUP(A630,[3]RESUMEN!$A:$AH,34,1)</f>
        <v>0.38495128337075096</v>
      </c>
      <c r="N630" s="113">
        <f>VLOOKUP(A630,[3]RESUMEN!$A:$AI,35,1)</f>
        <v>0.35931163950683387</v>
      </c>
    </row>
    <row r="631" spans="1:14" x14ac:dyDescent="0.25">
      <c r="A631" s="102">
        <v>42048</v>
      </c>
      <c r="B631">
        <v>60.857999999999997</v>
      </c>
      <c r="C631">
        <v>84.376000000000005</v>
      </c>
      <c r="D631">
        <v>103.727</v>
      </c>
      <c r="E631">
        <v>143.012</v>
      </c>
      <c r="F631">
        <v>0.12</v>
      </c>
      <c r="G631">
        <v>0.32650000000000001</v>
      </c>
      <c r="H631">
        <v>0.71699999999999997</v>
      </c>
      <c r="I631">
        <v>1.04</v>
      </c>
      <c r="J631">
        <v>1.466</v>
      </c>
      <c r="K631">
        <v>9.1599288766035958E-2</v>
      </c>
      <c r="L631" s="112">
        <f>VLOOKUP(A631,[3]RESUMEN!$A:$AE,31,1)</f>
        <v>0.33367199564291672</v>
      </c>
      <c r="M631" s="113">
        <f>VLOOKUP(A631,[3]RESUMEN!$A:$AH,34,1)</f>
        <v>0.38495128337075096</v>
      </c>
      <c r="N631" s="113">
        <f>VLOOKUP(A631,[3]RESUMEN!$A:$AI,35,1)</f>
        <v>0.35931163950683387</v>
      </c>
    </row>
    <row r="632" spans="1:14" x14ac:dyDescent="0.25">
      <c r="A632" s="102">
        <v>42055</v>
      </c>
      <c r="B632">
        <v>61.283000000000001</v>
      </c>
      <c r="C632">
        <v>84.355000000000004</v>
      </c>
      <c r="D632">
        <v>103.777</v>
      </c>
      <c r="E632">
        <v>142.958</v>
      </c>
      <c r="F632">
        <v>0.12</v>
      </c>
      <c r="G632">
        <v>0.32800000000000001</v>
      </c>
      <c r="H632">
        <v>0.72</v>
      </c>
      <c r="I632">
        <v>1.0680000000000001</v>
      </c>
      <c r="J632">
        <v>1.5150000000000001</v>
      </c>
      <c r="K632">
        <v>9.1599288766035958E-2</v>
      </c>
      <c r="L632" s="112">
        <f>VLOOKUP(A632,[3]RESUMEN!$A:$AE,31,1)</f>
        <v>0.33367199564291672</v>
      </c>
      <c r="M632" s="113">
        <f>VLOOKUP(A632,[3]RESUMEN!$A:$AH,34,1)</f>
        <v>0.38495128337075096</v>
      </c>
      <c r="N632" s="113">
        <f>VLOOKUP(A632,[3]RESUMEN!$A:$AI,35,1)</f>
        <v>0.35931163950683387</v>
      </c>
    </row>
    <row r="633" spans="1:14" x14ac:dyDescent="0.25">
      <c r="A633" s="102">
        <v>42062</v>
      </c>
      <c r="B633">
        <v>56.018999999999998</v>
      </c>
      <c r="C633">
        <v>77.38</v>
      </c>
      <c r="D633">
        <v>96.141999999999996</v>
      </c>
      <c r="E633">
        <v>134.65100000000001</v>
      </c>
      <c r="F633">
        <v>0.06</v>
      </c>
      <c r="G633">
        <v>0.31900000000000001</v>
      </c>
      <c r="H633">
        <v>0.69450000000000001</v>
      </c>
      <c r="I633">
        <v>1.0189999999999999</v>
      </c>
      <c r="J633">
        <v>1.425</v>
      </c>
      <c r="K633">
        <v>8.6412770594249122E-2</v>
      </c>
      <c r="L633" s="112">
        <f>VLOOKUP(A633,[3]RESUMEN!$A:$AE,31,1)</f>
        <v>0.33367199564291672</v>
      </c>
      <c r="M633" s="113">
        <f>VLOOKUP(A633,[3]RESUMEN!$A:$AH,34,1)</f>
        <v>0.38495128337075096</v>
      </c>
      <c r="N633" s="113">
        <f>VLOOKUP(A633,[3]RESUMEN!$A:$AI,35,1)</f>
        <v>0.35931163950683387</v>
      </c>
    </row>
    <row r="634" spans="1:14" x14ac:dyDescent="0.25">
      <c r="A634" s="102">
        <v>42069</v>
      </c>
      <c r="B634">
        <v>65.052000000000007</v>
      </c>
      <c r="C634">
        <v>91.911000000000001</v>
      </c>
      <c r="D634">
        <v>110.486</v>
      </c>
      <c r="E634">
        <v>151.07599999999999</v>
      </c>
      <c r="F634">
        <v>0.12</v>
      </c>
      <c r="G634">
        <v>0.379</v>
      </c>
      <c r="H634">
        <v>0.80600000000000005</v>
      </c>
      <c r="I634">
        <v>1.17</v>
      </c>
      <c r="J634">
        <v>1.635</v>
      </c>
      <c r="K634">
        <v>9.6432036401427945E-2</v>
      </c>
      <c r="L634" s="112">
        <f>VLOOKUP(A634,[3]RESUMEN!$A:$AE,31,1)</f>
        <v>0.33367199564291672</v>
      </c>
      <c r="M634" s="113">
        <f>VLOOKUP(A634,[3]RESUMEN!$A:$AH,34,1)</f>
        <v>0.38495128337075096</v>
      </c>
      <c r="N634" s="113">
        <f>VLOOKUP(A634,[3]RESUMEN!$A:$AI,35,1)</f>
        <v>0.35931163950683387</v>
      </c>
    </row>
    <row r="635" spans="1:14" x14ac:dyDescent="0.25">
      <c r="A635" s="102">
        <v>42076</v>
      </c>
      <c r="B635">
        <v>79.177000000000007</v>
      </c>
      <c r="C635">
        <v>109.224</v>
      </c>
      <c r="D635">
        <v>130.80799999999999</v>
      </c>
      <c r="E635">
        <v>171.37</v>
      </c>
      <c r="F635">
        <v>0.11</v>
      </c>
      <c r="G635">
        <v>0.35499999999999998</v>
      </c>
      <c r="H635">
        <v>0.75</v>
      </c>
      <c r="I635">
        <v>1.099</v>
      </c>
      <c r="J635">
        <v>1.536</v>
      </c>
      <c r="K635">
        <v>0.10862966389787132</v>
      </c>
      <c r="L635" s="112">
        <f>VLOOKUP(A635,[3]RESUMEN!$A:$AE,31,1)</f>
        <v>0.33367199564291672</v>
      </c>
      <c r="M635" s="113">
        <f>VLOOKUP(A635,[3]RESUMEN!$A:$AH,34,1)</f>
        <v>0.38495128337075096</v>
      </c>
      <c r="N635" s="113">
        <f>VLOOKUP(A635,[3]RESUMEN!$A:$AI,35,1)</f>
        <v>0.35931163950683387</v>
      </c>
    </row>
    <row r="636" spans="1:14" x14ac:dyDescent="0.25">
      <c r="A636" s="102">
        <v>42083</v>
      </c>
      <c r="B636">
        <v>73.052000000000007</v>
      </c>
      <c r="C636">
        <v>101.282</v>
      </c>
      <c r="D636">
        <v>122.113</v>
      </c>
      <c r="E636">
        <v>161.90199999999999</v>
      </c>
      <c r="F636">
        <v>0.12</v>
      </c>
      <c r="G636">
        <v>0.32300000000000001</v>
      </c>
      <c r="H636">
        <v>0.65900000000000003</v>
      </c>
      <c r="I636">
        <v>0.95299999999999996</v>
      </c>
      <c r="J636">
        <v>1.35</v>
      </c>
      <c r="K636">
        <v>0.10294904690615314</v>
      </c>
      <c r="L636" s="112">
        <f>VLOOKUP(A636,[3]RESUMEN!$A:$AE,31,1)</f>
        <v>0.33367199564291672</v>
      </c>
      <c r="M636" s="113">
        <f>VLOOKUP(A636,[3]RESUMEN!$A:$AH,34,1)</f>
        <v>0.38495128337075096</v>
      </c>
      <c r="N636" s="113">
        <f>VLOOKUP(A636,[3]RESUMEN!$A:$AI,35,1)</f>
        <v>0.35931163950683387</v>
      </c>
    </row>
    <row r="637" spans="1:14" x14ac:dyDescent="0.25">
      <c r="A637" s="102">
        <v>42090</v>
      </c>
      <c r="B637">
        <v>75.822000000000003</v>
      </c>
      <c r="C637">
        <v>98.85</v>
      </c>
      <c r="D637">
        <v>119.389</v>
      </c>
      <c r="E637">
        <v>158.80099999999999</v>
      </c>
      <c r="F637">
        <v>0.12</v>
      </c>
      <c r="G637">
        <v>0.30499999999999999</v>
      </c>
      <c r="H637">
        <v>0.64</v>
      </c>
      <c r="I637">
        <v>0.93899999999999995</v>
      </c>
      <c r="J637">
        <v>1.3460000000000001</v>
      </c>
      <c r="K637">
        <v>0.10107505893658175</v>
      </c>
      <c r="L637" s="112">
        <f>VLOOKUP(A637,[3]RESUMEN!$A:$AE,31,1)</f>
        <v>0.33367199564291672</v>
      </c>
      <c r="M637" s="113">
        <f>VLOOKUP(A637,[3]RESUMEN!$A:$AH,34,1)</f>
        <v>0.38495128337075096</v>
      </c>
      <c r="N637" s="113">
        <f>VLOOKUP(A637,[3]RESUMEN!$A:$AI,35,1)</f>
        <v>0.35931163950683387</v>
      </c>
    </row>
    <row r="638" spans="1:14" x14ac:dyDescent="0.25">
      <c r="A638" s="102">
        <v>42097</v>
      </c>
      <c r="B638">
        <v>68.061999999999998</v>
      </c>
      <c r="C638">
        <v>94.894999999999996</v>
      </c>
      <c r="D638">
        <v>114.78100000000001</v>
      </c>
      <c r="E638">
        <v>154.958</v>
      </c>
      <c r="F638">
        <v>0.12</v>
      </c>
      <c r="G638">
        <v>0.26500000000000001</v>
      </c>
      <c r="H638">
        <v>0.54500000000000004</v>
      </c>
      <c r="I638">
        <v>0.81299999999999994</v>
      </c>
      <c r="J638">
        <v>1.2050000000000001</v>
      </c>
      <c r="K638">
        <v>9.8777522903449322E-2</v>
      </c>
      <c r="L638" s="112">
        <f>VLOOKUP(A638,[3]RESUMEN!$A:$AE,31,1)</f>
        <v>0.19076304322415094</v>
      </c>
      <c r="M638" s="113">
        <f>VLOOKUP(A638,[3]RESUMEN!$A:$AH,34,1)</f>
        <v>0.21264785203944367</v>
      </c>
      <c r="N638" s="113">
        <f>VLOOKUP(A638,[3]RESUMEN!$A:$AI,35,1)</f>
        <v>0.20170544763179732</v>
      </c>
    </row>
    <row r="639" spans="1:14" x14ac:dyDescent="0.25">
      <c r="A639" s="102">
        <v>42104</v>
      </c>
      <c r="B639">
        <v>65.433999999999997</v>
      </c>
      <c r="C639">
        <v>92.763000000000005</v>
      </c>
      <c r="D639">
        <v>112.444</v>
      </c>
      <c r="E639">
        <v>151.28399999999999</v>
      </c>
      <c r="F639">
        <v>0.12</v>
      </c>
      <c r="G639">
        <v>0.30249999999999999</v>
      </c>
      <c r="H639">
        <v>0.62</v>
      </c>
      <c r="I639">
        <v>0.91400000000000003</v>
      </c>
      <c r="J639">
        <v>1.3220000000000001</v>
      </c>
      <c r="K639">
        <v>9.6539966517738329E-2</v>
      </c>
      <c r="L639" s="112">
        <f>VLOOKUP(A639,[3]RESUMEN!$A:$AE,31,1)</f>
        <v>0.19076304322415094</v>
      </c>
      <c r="M639" s="113">
        <f>VLOOKUP(A639,[3]RESUMEN!$A:$AH,34,1)</f>
        <v>0.21264785203944367</v>
      </c>
      <c r="N639" s="113">
        <f>VLOOKUP(A639,[3]RESUMEN!$A:$AI,35,1)</f>
        <v>0.20170544763179732</v>
      </c>
    </row>
    <row r="640" spans="1:14" x14ac:dyDescent="0.25">
      <c r="A640" s="102">
        <v>42111</v>
      </c>
      <c r="B640">
        <v>64.084000000000003</v>
      </c>
      <c r="C640">
        <v>88.275999999999996</v>
      </c>
      <c r="D640">
        <v>107.63800000000001</v>
      </c>
      <c r="E640">
        <v>144.923</v>
      </c>
      <c r="F640">
        <v>0.13</v>
      </c>
      <c r="G640">
        <v>0.28599999999999998</v>
      </c>
      <c r="H640">
        <v>0.57699999999999996</v>
      </c>
      <c r="I640">
        <v>0.84899999999999998</v>
      </c>
      <c r="J640">
        <v>1.2370000000000001</v>
      </c>
      <c r="K640">
        <v>9.2656112697866111E-2</v>
      </c>
      <c r="L640" s="112">
        <f>VLOOKUP(A640,[3]RESUMEN!$A:$AE,31,1)</f>
        <v>0.19076304322415094</v>
      </c>
      <c r="M640" s="113">
        <f>VLOOKUP(A640,[3]RESUMEN!$A:$AH,34,1)</f>
        <v>0.21264785203944367</v>
      </c>
      <c r="N640" s="113">
        <f>VLOOKUP(A640,[3]RESUMEN!$A:$AI,35,1)</f>
        <v>0.20170544763179732</v>
      </c>
    </row>
    <row r="641" spans="1:14" x14ac:dyDescent="0.25">
      <c r="A641" s="102">
        <v>42118</v>
      </c>
      <c r="B641">
        <v>57.283999999999999</v>
      </c>
      <c r="C641">
        <v>81.066000000000003</v>
      </c>
      <c r="D641">
        <v>99.968999999999994</v>
      </c>
      <c r="E641">
        <v>138.51499999999999</v>
      </c>
      <c r="F641">
        <v>0.13</v>
      </c>
      <c r="G641">
        <v>0.28100000000000003</v>
      </c>
      <c r="H641">
        <v>0.57199999999999995</v>
      </c>
      <c r="I641">
        <v>0.84499999999999997</v>
      </c>
      <c r="J641">
        <v>1.2389999999999999</v>
      </c>
      <c r="K641">
        <v>8.8776887846202635E-2</v>
      </c>
      <c r="L641" s="112">
        <f>VLOOKUP(A641,[3]RESUMEN!$A:$AE,31,1)</f>
        <v>0.19076304322415094</v>
      </c>
      <c r="M641" s="113">
        <f>VLOOKUP(A641,[3]RESUMEN!$A:$AH,34,1)</f>
        <v>0.21264785203944367</v>
      </c>
      <c r="N641" s="113">
        <f>VLOOKUP(A641,[3]RESUMEN!$A:$AI,35,1)</f>
        <v>0.20170544763179732</v>
      </c>
    </row>
    <row r="642" spans="1:14" x14ac:dyDescent="0.25">
      <c r="A642" s="102">
        <v>42125</v>
      </c>
      <c r="B642">
        <v>62.354999999999997</v>
      </c>
      <c r="C642">
        <v>88.498999999999995</v>
      </c>
      <c r="D642">
        <v>108.104</v>
      </c>
      <c r="E642">
        <v>147.50299999999999</v>
      </c>
      <c r="F642">
        <v>0.13</v>
      </c>
      <c r="G642">
        <v>0.317</v>
      </c>
      <c r="H642">
        <v>0.65349999999999997</v>
      </c>
      <c r="I642">
        <v>0.96499999999999997</v>
      </c>
      <c r="J642">
        <v>1.411</v>
      </c>
      <c r="K642">
        <v>9.4255208779041477E-2</v>
      </c>
      <c r="L642" s="112">
        <f>VLOOKUP(A642,[3]RESUMEN!$A:$AE,31,1)</f>
        <v>0.19076304322415094</v>
      </c>
      <c r="M642" s="113">
        <f>VLOOKUP(A642,[3]RESUMEN!$A:$AH,34,1)</f>
        <v>0.21264785203944367</v>
      </c>
      <c r="N642" s="113">
        <f>VLOOKUP(A642,[3]RESUMEN!$A:$AI,35,1)</f>
        <v>0.20170544763179732</v>
      </c>
    </row>
    <row r="643" spans="1:14" x14ac:dyDescent="0.25">
      <c r="A643" s="102">
        <v>42132</v>
      </c>
      <c r="B643">
        <v>58.648000000000003</v>
      </c>
      <c r="C643">
        <v>81.388000000000005</v>
      </c>
      <c r="D643">
        <v>100.607</v>
      </c>
      <c r="E643">
        <v>139.65799999999999</v>
      </c>
      <c r="F643">
        <v>0.13</v>
      </c>
      <c r="G643">
        <v>0.29299999999999998</v>
      </c>
      <c r="H643">
        <v>0.63700000000000001</v>
      </c>
      <c r="I643">
        <v>0.95099999999999996</v>
      </c>
      <c r="J643">
        <v>1.393</v>
      </c>
      <c r="K643">
        <v>8.947990347258139E-2</v>
      </c>
      <c r="L643" s="112">
        <f>VLOOKUP(A643,[3]RESUMEN!$A:$AE,31,1)</f>
        <v>0.19076304322415094</v>
      </c>
      <c r="M643" s="113">
        <f>VLOOKUP(A643,[3]RESUMEN!$A:$AH,34,1)</f>
        <v>0.21264785203944367</v>
      </c>
      <c r="N643" s="113">
        <f>VLOOKUP(A643,[3]RESUMEN!$A:$AI,35,1)</f>
        <v>0.20170544763179732</v>
      </c>
    </row>
    <row r="644" spans="1:14" x14ac:dyDescent="0.25">
      <c r="A644" s="102">
        <v>42139</v>
      </c>
      <c r="B644">
        <v>58.887999999999998</v>
      </c>
      <c r="C644">
        <v>81.981999999999999</v>
      </c>
      <c r="D644">
        <v>101.923</v>
      </c>
      <c r="E644">
        <v>140.96299999999999</v>
      </c>
      <c r="F644">
        <v>0.13</v>
      </c>
      <c r="G644">
        <v>0.28649999999999998</v>
      </c>
      <c r="H644">
        <v>0.60599999999999998</v>
      </c>
      <c r="I644">
        <v>0.91400000000000003</v>
      </c>
      <c r="J644">
        <v>1.365</v>
      </c>
      <c r="K644">
        <v>9.0333018796410869E-2</v>
      </c>
      <c r="L644" s="112">
        <f>VLOOKUP(A644,[3]RESUMEN!$A:$AE,31,1)</f>
        <v>0.19076304322415094</v>
      </c>
      <c r="M644" s="113">
        <f>VLOOKUP(A644,[3]RESUMEN!$A:$AH,34,1)</f>
        <v>0.21264785203944367</v>
      </c>
      <c r="N644" s="113">
        <f>VLOOKUP(A644,[3]RESUMEN!$A:$AI,35,1)</f>
        <v>0.20170544763179732</v>
      </c>
    </row>
    <row r="645" spans="1:14" x14ac:dyDescent="0.25">
      <c r="A645" s="102">
        <v>42146</v>
      </c>
      <c r="B645">
        <v>60.38</v>
      </c>
      <c r="C645">
        <v>82.986999999999995</v>
      </c>
      <c r="D645">
        <v>102.845</v>
      </c>
      <c r="E645">
        <v>142.96700000000001</v>
      </c>
      <c r="F645">
        <v>0.13</v>
      </c>
      <c r="G645">
        <v>0.33400000000000002</v>
      </c>
      <c r="H645">
        <v>0.67900000000000005</v>
      </c>
      <c r="I645">
        <v>0.995</v>
      </c>
      <c r="J645">
        <v>1.4590000000000001</v>
      </c>
      <c r="K645">
        <v>9.1193853916401113E-2</v>
      </c>
      <c r="L645" s="112">
        <f>VLOOKUP(A645,[3]RESUMEN!$A:$AE,31,1)</f>
        <v>0.19076304322415094</v>
      </c>
      <c r="M645" s="113">
        <f>VLOOKUP(A645,[3]RESUMEN!$A:$AH,34,1)</f>
        <v>0.21264785203944367</v>
      </c>
      <c r="N645" s="113">
        <f>VLOOKUP(A645,[3]RESUMEN!$A:$AI,35,1)</f>
        <v>0.20170544763179732</v>
      </c>
    </row>
    <row r="646" spans="1:14" x14ac:dyDescent="0.25">
      <c r="A646" s="102">
        <v>42153</v>
      </c>
      <c r="B646">
        <v>63.968000000000004</v>
      </c>
      <c r="C646">
        <v>88.573999999999998</v>
      </c>
      <c r="D646">
        <v>107.468</v>
      </c>
      <c r="E646">
        <v>147.11699999999999</v>
      </c>
      <c r="F646">
        <v>0.08</v>
      </c>
      <c r="G646">
        <v>0.31950000000000001</v>
      </c>
      <c r="H646">
        <v>0.64900000000000002</v>
      </c>
      <c r="I646">
        <v>0.95299999999999996</v>
      </c>
      <c r="J646">
        <v>1.3959999999999999</v>
      </c>
      <c r="K646">
        <v>9.4021722584481493E-2</v>
      </c>
      <c r="L646" s="112">
        <f>VLOOKUP(A646,[3]RESUMEN!$A:$AE,31,1)</f>
        <v>0.19076304322415094</v>
      </c>
      <c r="M646" s="113">
        <f>VLOOKUP(A646,[3]RESUMEN!$A:$AH,34,1)</f>
        <v>0.21264785203944367</v>
      </c>
      <c r="N646" s="113">
        <f>VLOOKUP(A646,[3]RESUMEN!$A:$AI,35,1)</f>
        <v>0.20170544763179732</v>
      </c>
    </row>
    <row r="647" spans="1:14" x14ac:dyDescent="0.25">
      <c r="A647" s="102">
        <v>42160</v>
      </c>
      <c r="B647">
        <v>78.891000000000005</v>
      </c>
      <c r="C647">
        <v>102.81100000000001</v>
      </c>
      <c r="D647">
        <v>124.28400000000001</v>
      </c>
      <c r="E647">
        <v>166.322</v>
      </c>
      <c r="F647">
        <v>0.13</v>
      </c>
      <c r="G647">
        <v>0.37380000000000002</v>
      </c>
      <c r="H647">
        <v>0.76400000000000001</v>
      </c>
      <c r="I647">
        <v>1.1219999999999999</v>
      </c>
      <c r="J647">
        <v>1.6339999999999999</v>
      </c>
      <c r="K647">
        <v>0.10563037795122221</v>
      </c>
      <c r="L647" s="112">
        <f>VLOOKUP(A647,[3]RESUMEN!$A:$AE,31,1)</f>
        <v>0.19076304322415094</v>
      </c>
      <c r="M647" s="113">
        <f>VLOOKUP(A647,[3]RESUMEN!$A:$AH,34,1)</f>
        <v>0.21264785203944367</v>
      </c>
      <c r="N647" s="113">
        <f>VLOOKUP(A647,[3]RESUMEN!$A:$AI,35,1)</f>
        <v>0.20170544763179732</v>
      </c>
    </row>
    <row r="648" spans="1:14" x14ac:dyDescent="0.25">
      <c r="A648" s="102">
        <v>42167</v>
      </c>
      <c r="B648">
        <v>71.674999999999997</v>
      </c>
      <c r="C648">
        <v>98.233000000000004</v>
      </c>
      <c r="D648">
        <v>118.88800000000001</v>
      </c>
      <c r="E648">
        <v>160.00299999999999</v>
      </c>
      <c r="F648">
        <v>0.13</v>
      </c>
      <c r="G648">
        <v>0.39500000000000002</v>
      </c>
      <c r="H648">
        <v>0.78700000000000003</v>
      </c>
      <c r="I648">
        <v>1.1360000000000001</v>
      </c>
      <c r="J648">
        <v>1.6400000000000001</v>
      </c>
      <c r="K648">
        <v>0.10183015088886094</v>
      </c>
      <c r="L648" s="112">
        <f>VLOOKUP(A648,[3]RESUMEN!$A:$AE,31,1)</f>
        <v>0.19076304322415094</v>
      </c>
      <c r="M648" s="113">
        <f>VLOOKUP(A648,[3]RESUMEN!$A:$AH,34,1)</f>
        <v>0.21264785203944367</v>
      </c>
      <c r="N648" s="113">
        <f>VLOOKUP(A648,[3]RESUMEN!$A:$AI,35,1)</f>
        <v>0.20170544763179732</v>
      </c>
    </row>
    <row r="649" spans="1:14" x14ac:dyDescent="0.25">
      <c r="A649" s="102">
        <v>42174</v>
      </c>
      <c r="B649">
        <v>71.415000000000006</v>
      </c>
      <c r="C649">
        <v>97.727999999999994</v>
      </c>
      <c r="D649">
        <v>118.218</v>
      </c>
      <c r="E649">
        <v>158.89099999999999</v>
      </c>
      <c r="F649">
        <v>0.13</v>
      </c>
      <c r="G649">
        <v>0.32900000000000001</v>
      </c>
      <c r="H649">
        <v>0.66400000000000003</v>
      </c>
      <c r="I649">
        <v>0.98299999999999998</v>
      </c>
      <c r="J649">
        <v>1.476</v>
      </c>
      <c r="K649">
        <v>0.10086503345974618</v>
      </c>
      <c r="L649" s="112">
        <f>VLOOKUP(A649,[3]RESUMEN!$A:$AE,31,1)</f>
        <v>0.19076304322415094</v>
      </c>
      <c r="M649" s="113">
        <f>VLOOKUP(A649,[3]RESUMEN!$A:$AH,34,1)</f>
        <v>0.21264785203944367</v>
      </c>
      <c r="N649" s="113">
        <f>VLOOKUP(A649,[3]RESUMEN!$A:$AI,35,1)</f>
        <v>0.20170544763179732</v>
      </c>
    </row>
    <row r="650" spans="1:14" x14ac:dyDescent="0.25">
      <c r="A650" s="102">
        <v>42181</v>
      </c>
      <c r="B650">
        <v>77.897999999999996</v>
      </c>
      <c r="C650">
        <v>105.524</v>
      </c>
      <c r="D650">
        <v>125.834</v>
      </c>
      <c r="E650">
        <v>166.14699999999999</v>
      </c>
      <c r="F650">
        <v>0.13</v>
      </c>
      <c r="G650">
        <v>0.36</v>
      </c>
      <c r="H650">
        <v>0.73399999999999999</v>
      </c>
      <c r="I650">
        <v>1.0860000000000001</v>
      </c>
      <c r="J650">
        <v>1.6339999999999999</v>
      </c>
      <c r="K650">
        <v>0.10549598070999811</v>
      </c>
      <c r="L650" s="112">
        <f>VLOOKUP(A650,[3]RESUMEN!$A:$AE,31,1)</f>
        <v>0.19076304322415094</v>
      </c>
      <c r="M650" s="113">
        <f>VLOOKUP(A650,[3]RESUMEN!$A:$AH,34,1)</f>
        <v>0.21264785203944367</v>
      </c>
      <c r="N650" s="113">
        <f>VLOOKUP(A650,[3]RESUMEN!$A:$AI,35,1)</f>
        <v>0.20170544763179732</v>
      </c>
    </row>
    <row r="651" spans="1:14" x14ac:dyDescent="0.25">
      <c r="A651" s="102">
        <v>42188</v>
      </c>
      <c r="B651">
        <v>76.59</v>
      </c>
      <c r="C651">
        <v>103.63</v>
      </c>
      <c r="D651">
        <v>127.154</v>
      </c>
      <c r="E651">
        <v>167.209</v>
      </c>
      <c r="F651">
        <v>0.13</v>
      </c>
      <c r="G651">
        <v>0.32900000000000001</v>
      </c>
      <c r="H651">
        <v>0.66700000000000004</v>
      </c>
      <c r="I651">
        <v>0.995</v>
      </c>
      <c r="J651">
        <v>1.5409999999999999</v>
      </c>
      <c r="K651">
        <v>0.10649267072418467</v>
      </c>
      <c r="L651" s="112">
        <f>VLOOKUP(A651,[3]RESUMEN!$A:$AE,31,1)</f>
        <v>0.1547783229290815</v>
      </c>
      <c r="M651" s="113">
        <f>VLOOKUP(A651,[3]RESUMEN!$A:$AH,34,1)</f>
        <v>6.8924397728891917E-2</v>
      </c>
      <c r="N651" s="113">
        <f>VLOOKUP(A651,[3]RESUMEN!$A:$AI,35,1)</f>
        <v>0.11185136032898671</v>
      </c>
    </row>
    <row r="652" spans="1:14" x14ac:dyDescent="0.25">
      <c r="A652" s="102">
        <v>42195</v>
      </c>
      <c r="B652">
        <v>77.272999999999996</v>
      </c>
      <c r="C652">
        <v>107.736</v>
      </c>
      <c r="D652">
        <v>130.19200000000001</v>
      </c>
      <c r="E652">
        <v>171.751</v>
      </c>
      <c r="F652">
        <v>0.13</v>
      </c>
      <c r="G652">
        <v>0.34599999999999997</v>
      </c>
      <c r="H652">
        <v>0.68700000000000006</v>
      </c>
      <c r="I652">
        <v>1.0149999999999999</v>
      </c>
      <c r="J652">
        <v>1.54</v>
      </c>
      <c r="K652">
        <v>0.10888555226818464</v>
      </c>
      <c r="L652" s="112">
        <f>VLOOKUP(A652,[3]RESUMEN!$A:$AE,31,1)</f>
        <v>0.1547783229290815</v>
      </c>
      <c r="M652" s="113">
        <f>VLOOKUP(A652,[3]RESUMEN!$A:$AH,34,1)</f>
        <v>6.8924397728891917E-2</v>
      </c>
      <c r="N652" s="113">
        <f>VLOOKUP(A652,[3]RESUMEN!$A:$AI,35,1)</f>
        <v>0.11185136032898671</v>
      </c>
    </row>
    <row r="653" spans="1:14" x14ac:dyDescent="0.25">
      <c r="A653" s="102">
        <v>42202</v>
      </c>
      <c r="B653">
        <v>77.31</v>
      </c>
      <c r="C653">
        <v>105.124</v>
      </c>
      <c r="D653">
        <v>128.12700000000001</v>
      </c>
      <c r="E653">
        <v>169.62299999999999</v>
      </c>
      <c r="F653">
        <v>0.13</v>
      </c>
      <c r="G653">
        <v>0.38350000000000001</v>
      </c>
      <c r="H653">
        <v>0.73699999999999999</v>
      </c>
      <c r="I653">
        <v>1.0589999999999999</v>
      </c>
      <c r="J653">
        <v>1.5629999999999999</v>
      </c>
      <c r="K653">
        <v>0.10785766167224298</v>
      </c>
      <c r="L653" s="112">
        <f>VLOOKUP(A653,[3]RESUMEN!$A:$AE,31,1)</f>
        <v>0.1547783229290815</v>
      </c>
      <c r="M653" s="113">
        <f>VLOOKUP(A653,[3]RESUMEN!$A:$AH,34,1)</f>
        <v>6.8924397728891917E-2</v>
      </c>
      <c r="N653" s="113">
        <f>VLOOKUP(A653,[3]RESUMEN!$A:$AI,35,1)</f>
        <v>0.11185136032898671</v>
      </c>
    </row>
    <row r="654" spans="1:14" x14ac:dyDescent="0.25">
      <c r="A654" s="102">
        <v>42209</v>
      </c>
      <c r="B654">
        <v>90.968999999999994</v>
      </c>
      <c r="C654">
        <v>116.45699999999999</v>
      </c>
      <c r="D654">
        <v>138.971</v>
      </c>
      <c r="E654">
        <v>181.85900000000001</v>
      </c>
      <c r="F654">
        <v>0.13</v>
      </c>
      <c r="G654">
        <v>0.39600000000000002</v>
      </c>
      <c r="H654">
        <v>0.73499999999999999</v>
      </c>
      <c r="I654">
        <v>1.044</v>
      </c>
      <c r="J654">
        <v>1.516</v>
      </c>
      <c r="K654">
        <v>0.1148904557874656</v>
      </c>
      <c r="L654" s="112">
        <f>VLOOKUP(A654,[3]RESUMEN!$A:$AE,31,1)</f>
        <v>0.1547783229290815</v>
      </c>
      <c r="M654" s="113">
        <f>VLOOKUP(A654,[3]RESUMEN!$A:$AH,34,1)</f>
        <v>6.8924397728891917E-2</v>
      </c>
      <c r="N654" s="113">
        <f>VLOOKUP(A654,[3]RESUMEN!$A:$AI,35,1)</f>
        <v>0.11185136032898671</v>
      </c>
    </row>
    <row r="655" spans="1:14" x14ac:dyDescent="0.25">
      <c r="A655" s="102">
        <v>42216</v>
      </c>
      <c r="B655">
        <v>89.213999999999999</v>
      </c>
      <c r="C655">
        <v>114.71599999999999</v>
      </c>
      <c r="D655">
        <v>139.751</v>
      </c>
      <c r="E655">
        <v>182.71600000000001</v>
      </c>
      <c r="F655">
        <v>0.08</v>
      </c>
      <c r="G655">
        <v>0.38</v>
      </c>
      <c r="H655">
        <v>0.70050000000000001</v>
      </c>
      <c r="I655">
        <v>0.98899999999999999</v>
      </c>
      <c r="J655">
        <v>1.4339999999999999</v>
      </c>
      <c r="K655">
        <v>0.1148904557874656</v>
      </c>
      <c r="L655" s="112">
        <f>VLOOKUP(A655,[3]RESUMEN!$A:$AE,31,1)</f>
        <v>0.1547783229290815</v>
      </c>
      <c r="M655" s="113">
        <f>VLOOKUP(A655,[3]RESUMEN!$A:$AH,34,1)</f>
        <v>6.8924397728891917E-2</v>
      </c>
      <c r="N655" s="113">
        <f>VLOOKUP(A655,[3]RESUMEN!$A:$AI,35,1)</f>
        <v>0.11185136032898671</v>
      </c>
    </row>
    <row r="656" spans="1:14" x14ac:dyDescent="0.25">
      <c r="A656" s="102">
        <v>42223</v>
      </c>
      <c r="B656">
        <v>99.635999999999996</v>
      </c>
      <c r="C656">
        <v>128.483</v>
      </c>
      <c r="D656">
        <v>153.416</v>
      </c>
      <c r="E656">
        <v>195.798</v>
      </c>
      <c r="F656">
        <v>0.14000000000000001</v>
      </c>
      <c r="G656">
        <v>0.439</v>
      </c>
      <c r="H656">
        <v>0.77600000000000002</v>
      </c>
      <c r="I656">
        <v>1.0589999999999999</v>
      </c>
      <c r="J656">
        <v>1.476</v>
      </c>
      <c r="K656">
        <v>0.12311272376437044</v>
      </c>
      <c r="L656" s="112">
        <f>VLOOKUP(A656,[3]RESUMEN!$A:$AE,31,1)</f>
        <v>0.1547783229290815</v>
      </c>
      <c r="M656" s="113">
        <f>VLOOKUP(A656,[3]RESUMEN!$A:$AH,34,1)</f>
        <v>6.8924397728891917E-2</v>
      </c>
      <c r="N656" s="113">
        <f>VLOOKUP(A656,[3]RESUMEN!$A:$AI,35,1)</f>
        <v>0.11185136032898671</v>
      </c>
    </row>
    <row r="657" spans="1:14" x14ac:dyDescent="0.25">
      <c r="A657" s="102">
        <v>42230</v>
      </c>
      <c r="B657">
        <v>100.54300000000001</v>
      </c>
      <c r="C657">
        <v>131.61000000000001</v>
      </c>
      <c r="D657">
        <v>155.68799999999999</v>
      </c>
      <c r="E657">
        <v>199.928</v>
      </c>
      <c r="F657">
        <v>0.14000000000000001</v>
      </c>
      <c r="G657">
        <v>0.439</v>
      </c>
      <c r="H657">
        <v>0.77200000000000002</v>
      </c>
      <c r="I657">
        <v>1.0609999999999999</v>
      </c>
      <c r="J657">
        <v>1.486</v>
      </c>
      <c r="K657">
        <v>0.1255799831166754</v>
      </c>
      <c r="L657" s="112">
        <f>VLOOKUP(A657,[3]RESUMEN!$A:$AE,31,1)</f>
        <v>0.1547783229290815</v>
      </c>
      <c r="M657" s="113">
        <f>VLOOKUP(A657,[3]RESUMEN!$A:$AH,34,1)</f>
        <v>6.8924397728891917E-2</v>
      </c>
      <c r="N657" s="113">
        <f>VLOOKUP(A657,[3]RESUMEN!$A:$AI,35,1)</f>
        <v>0.11185136032898671</v>
      </c>
    </row>
    <row r="658" spans="1:14" x14ac:dyDescent="0.25">
      <c r="A658" s="102">
        <v>42237</v>
      </c>
      <c r="B658">
        <v>119.129</v>
      </c>
      <c r="C658">
        <v>145.726</v>
      </c>
      <c r="D658">
        <v>166.702</v>
      </c>
      <c r="E658">
        <v>216.08600000000001</v>
      </c>
      <c r="F658">
        <v>0.15</v>
      </c>
      <c r="G658">
        <v>0.36799999999999999</v>
      </c>
      <c r="H658">
        <v>0.65100000000000002</v>
      </c>
      <c r="I658">
        <v>0.90700000000000003</v>
      </c>
      <c r="J658">
        <v>1.3129999999999999</v>
      </c>
      <c r="K658">
        <v>0.13500736386890677</v>
      </c>
      <c r="L658" s="112">
        <f>VLOOKUP(A658,[3]RESUMEN!$A:$AE,31,1)</f>
        <v>0.1547783229290815</v>
      </c>
      <c r="M658" s="113">
        <f>VLOOKUP(A658,[3]RESUMEN!$A:$AH,34,1)</f>
        <v>6.8924397728891917E-2</v>
      </c>
      <c r="N658" s="113">
        <f>VLOOKUP(A658,[3]RESUMEN!$A:$AI,35,1)</f>
        <v>0.11185136032898671</v>
      </c>
    </row>
    <row r="659" spans="1:14" x14ac:dyDescent="0.25">
      <c r="A659" s="102">
        <v>42244</v>
      </c>
      <c r="B659">
        <v>113.15300000000001</v>
      </c>
      <c r="C659">
        <v>144.28100000000001</v>
      </c>
      <c r="D659">
        <v>170.94300000000001</v>
      </c>
      <c r="E659">
        <v>216.72900000000001</v>
      </c>
      <c r="F659">
        <v>0.14000000000000001</v>
      </c>
      <c r="G659">
        <v>0.378</v>
      </c>
      <c r="H659">
        <v>0.67500000000000004</v>
      </c>
      <c r="I659">
        <v>0.94699999999999995</v>
      </c>
      <c r="J659">
        <v>1.381</v>
      </c>
      <c r="K659">
        <v>0.13500736386890677</v>
      </c>
      <c r="L659" s="112">
        <f>VLOOKUP(A659,[3]RESUMEN!$A:$AE,31,1)</f>
        <v>0.1547783229290815</v>
      </c>
      <c r="M659" s="113">
        <f>VLOOKUP(A659,[3]RESUMEN!$A:$AH,34,1)</f>
        <v>6.8924397728891917E-2</v>
      </c>
      <c r="N659" s="113">
        <f>VLOOKUP(A659,[3]RESUMEN!$A:$AI,35,1)</f>
        <v>0.11185136032898671</v>
      </c>
    </row>
    <row r="660" spans="1:14" x14ac:dyDescent="0.25">
      <c r="A660" s="102">
        <v>42251</v>
      </c>
      <c r="B660">
        <v>112.741</v>
      </c>
      <c r="C660">
        <v>151.54900000000001</v>
      </c>
      <c r="D660">
        <v>179.19900000000001</v>
      </c>
      <c r="E660">
        <v>227.596</v>
      </c>
      <c r="F660">
        <v>0.14000000000000001</v>
      </c>
      <c r="G660">
        <v>0.38</v>
      </c>
      <c r="H660">
        <v>0.64900000000000002</v>
      </c>
      <c r="I660">
        <v>0.90200000000000002</v>
      </c>
      <c r="J660">
        <v>1.3140000000000001</v>
      </c>
      <c r="K660">
        <v>0.14171211832748942</v>
      </c>
      <c r="L660" s="112">
        <f>VLOOKUP(A660,[3]RESUMEN!$A:$AE,31,1)</f>
        <v>0.1547783229290815</v>
      </c>
      <c r="M660" s="113">
        <f>VLOOKUP(A660,[3]RESUMEN!$A:$AH,34,1)</f>
        <v>6.8924397728891917E-2</v>
      </c>
      <c r="N660" s="113">
        <f>VLOOKUP(A660,[3]RESUMEN!$A:$AI,35,1)</f>
        <v>0.11185136032898671</v>
      </c>
    </row>
    <row r="661" spans="1:14" x14ac:dyDescent="0.25">
      <c r="A661" s="102">
        <v>42258</v>
      </c>
      <c r="B661">
        <v>106.83199999999999</v>
      </c>
      <c r="C661">
        <v>143.965</v>
      </c>
      <c r="D661">
        <v>170.833</v>
      </c>
      <c r="E661">
        <v>218.08099999999999</v>
      </c>
      <c r="F661">
        <v>0.14000000000000001</v>
      </c>
      <c r="G661">
        <v>0.39250000000000002</v>
      </c>
      <c r="H661">
        <v>0.65900000000000003</v>
      </c>
      <c r="I661">
        <v>0.91100000000000003</v>
      </c>
      <c r="J661">
        <v>1.337</v>
      </c>
      <c r="K661">
        <v>0.13620612974622981</v>
      </c>
      <c r="L661" s="112">
        <f>VLOOKUP(A661,[3]RESUMEN!$A:$AE,31,1)</f>
        <v>0.1547783229290815</v>
      </c>
      <c r="M661" s="113">
        <f>VLOOKUP(A661,[3]RESUMEN!$A:$AH,34,1)</f>
        <v>6.8924397728891917E-2</v>
      </c>
      <c r="N661" s="113">
        <f>VLOOKUP(A661,[3]RESUMEN!$A:$AI,35,1)</f>
        <v>0.11185136032898671</v>
      </c>
    </row>
    <row r="662" spans="1:14" x14ac:dyDescent="0.25">
      <c r="A662" s="102">
        <v>42265</v>
      </c>
      <c r="B662">
        <v>97.984999999999999</v>
      </c>
      <c r="C662">
        <v>129.07300000000001</v>
      </c>
      <c r="D662">
        <v>155.92699999999999</v>
      </c>
      <c r="E662">
        <v>200.64099999999999</v>
      </c>
      <c r="F662">
        <v>0.14000000000000001</v>
      </c>
      <c r="G662">
        <v>0.33200000000000002</v>
      </c>
      <c r="H662">
        <v>0.60199999999999998</v>
      </c>
      <c r="I662">
        <v>0.85699999999999998</v>
      </c>
      <c r="J662">
        <v>1.2749999999999999</v>
      </c>
      <c r="K662">
        <v>0.12600077989689251</v>
      </c>
      <c r="L662" s="112">
        <f>VLOOKUP(A662,[3]RESUMEN!$A:$AE,31,1)</f>
        <v>0.1547783229290815</v>
      </c>
      <c r="M662" s="113">
        <f>VLOOKUP(A662,[3]RESUMEN!$A:$AH,34,1)</f>
        <v>6.8924397728891917E-2</v>
      </c>
      <c r="N662" s="113">
        <f>VLOOKUP(A662,[3]RESUMEN!$A:$AI,35,1)</f>
        <v>0.11185136032898671</v>
      </c>
    </row>
    <row r="663" spans="1:14" x14ac:dyDescent="0.25">
      <c r="A663" s="102">
        <v>42272</v>
      </c>
      <c r="B663">
        <v>122.583</v>
      </c>
      <c r="C663">
        <v>164.102</v>
      </c>
      <c r="D663">
        <v>196.64400000000001</v>
      </c>
      <c r="E663">
        <v>242.101</v>
      </c>
      <c r="F663">
        <v>0.13</v>
      </c>
      <c r="G663">
        <v>0.33300000000000002</v>
      </c>
      <c r="H663">
        <v>0.58499999999999996</v>
      </c>
      <c r="I663">
        <v>0.82499999999999996</v>
      </c>
      <c r="J663">
        <v>1.2389999999999999</v>
      </c>
      <c r="K663">
        <v>0.14993512357697725</v>
      </c>
      <c r="L663" s="112">
        <f>VLOOKUP(A663,[3]RESUMEN!$A:$AE,31,1)</f>
        <v>0.1547783229290815</v>
      </c>
      <c r="M663" s="113">
        <f>VLOOKUP(A663,[3]RESUMEN!$A:$AH,34,1)</f>
        <v>6.8924397728891917E-2</v>
      </c>
      <c r="N663" s="113">
        <f>VLOOKUP(A663,[3]RESUMEN!$A:$AI,35,1)</f>
        <v>0.11185136032898671</v>
      </c>
    </row>
    <row r="664" spans="1:14" x14ac:dyDescent="0.25">
      <c r="A664" s="102">
        <v>42279</v>
      </c>
      <c r="B664">
        <v>130.07599999999999</v>
      </c>
      <c r="C664">
        <v>166.767</v>
      </c>
      <c r="D664">
        <v>197.13800000000001</v>
      </c>
      <c r="E664">
        <v>243.125</v>
      </c>
      <c r="F664">
        <v>0.13</v>
      </c>
      <c r="G664">
        <v>0.29099999999999998</v>
      </c>
      <c r="H664">
        <v>0.50149999999999995</v>
      </c>
      <c r="I664">
        <v>0.71599999999999997</v>
      </c>
      <c r="J664">
        <v>1.1020000000000001</v>
      </c>
      <c r="K664">
        <v>0.15056042311216389</v>
      </c>
      <c r="L664" s="112">
        <f>VLOOKUP(A664,[3]RESUMEN!$A:$AE,31,1)</f>
        <v>1.4366060843360243E-2</v>
      </c>
      <c r="M664" s="113">
        <f>VLOOKUP(A664,[3]RESUMEN!$A:$AH,34,1)</f>
        <v>-0.59625996538230752</v>
      </c>
      <c r="N664" s="113">
        <f>VLOOKUP(A664,[3]RESUMEN!$A:$AI,35,1)</f>
        <v>-0.29094695226947365</v>
      </c>
    </row>
    <row r="665" spans="1:14" x14ac:dyDescent="0.25">
      <c r="A665" s="102">
        <v>42286</v>
      </c>
      <c r="B665">
        <v>106.247</v>
      </c>
      <c r="C665">
        <v>142.47</v>
      </c>
      <c r="D665">
        <v>169.20500000000001</v>
      </c>
      <c r="E665">
        <v>215.83</v>
      </c>
      <c r="F665">
        <v>0.13</v>
      </c>
      <c r="G665">
        <v>0.32350000000000001</v>
      </c>
      <c r="H665">
        <v>0.56899999999999995</v>
      </c>
      <c r="I665">
        <v>0.8</v>
      </c>
      <c r="J665">
        <v>1.198</v>
      </c>
      <c r="K665">
        <v>0.1351756331288837</v>
      </c>
      <c r="L665" s="112">
        <f>VLOOKUP(A665,[3]RESUMEN!$A:$AE,31,1)</f>
        <v>1.4366060843360243E-2</v>
      </c>
      <c r="M665" s="113">
        <f>VLOOKUP(A665,[3]RESUMEN!$A:$AH,34,1)</f>
        <v>-0.59625996538230752</v>
      </c>
      <c r="N665" s="113">
        <f>VLOOKUP(A665,[3]RESUMEN!$A:$AI,35,1)</f>
        <v>-0.29094695226947365</v>
      </c>
    </row>
    <row r="666" spans="1:14" x14ac:dyDescent="0.25">
      <c r="A666" s="102">
        <v>42293</v>
      </c>
      <c r="B666">
        <v>109.17</v>
      </c>
      <c r="C666">
        <v>144.57400000000001</v>
      </c>
      <c r="D666">
        <v>170.619</v>
      </c>
      <c r="E666">
        <v>218.79599999999999</v>
      </c>
      <c r="F666">
        <v>0.13</v>
      </c>
      <c r="G666">
        <v>0.30399999999999999</v>
      </c>
      <c r="H666">
        <v>0.53</v>
      </c>
      <c r="I666">
        <v>0.753</v>
      </c>
      <c r="J666">
        <v>1.137</v>
      </c>
      <c r="K666">
        <v>0.13643069591964996</v>
      </c>
      <c r="L666" s="112">
        <f>VLOOKUP(A666,[3]RESUMEN!$A:$AE,31,1)</f>
        <v>1.4366060843360243E-2</v>
      </c>
      <c r="M666" s="113">
        <f>VLOOKUP(A666,[3]RESUMEN!$A:$AH,34,1)</f>
        <v>-0.59625996538230752</v>
      </c>
      <c r="N666" s="113">
        <f>VLOOKUP(A666,[3]RESUMEN!$A:$AI,35,1)</f>
        <v>-0.29094695226947365</v>
      </c>
    </row>
    <row r="667" spans="1:14" x14ac:dyDescent="0.25">
      <c r="A667" s="102">
        <v>42300</v>
      </c>
      <c r="B667">
        <v>104.233</v>
      </c>
      <c r="C667">
        <v>136.65899999999999</v>
      </c>
      <c r="D667">
        <v>162.315</v>
      </c>
      <c r="E667">
        <v>211.279</v>
      </c>
      <c r="F667">
        <v>0.12</v>
      </c>
      <c r="G667">
        <v>0.32600000000000001</v>
      </c>
      <c r="H667">
        <v>0.56200000000000006</v>
      </c>
      <c r="I667">
        <v>0.79</v>
      </c>
      <c r="J667">
        <v>1.18</v>
      </c>
      <c r="K667">
        <v>0.13228535419492582</v>
      </c>
      <c r="L667" s="112">
        <f>VLOOKUP(A667,[3]RESUMEN!$A:$AE,31,1)</f>
        <v>1.4366060843360243E-2</v>
      </c>
      <c r="M667" s="113">
        <f>VLOOKUP(A667,[3]RESUMEN!$A:$AH,34,1)</f>
        <v>-0.59625996538230752</v>
      </c>
      <c r="N667" s="113">
        <f>VLOOKUP(A667,[3]RESUMEN!$A:$AI,35,1)</f>
        <v>-0.29094695226947365</v>
      </c>
    </row>
    <row r="668" spans="1:14" x14ac:dyDescent="0.25">
      <c r="A668" s="102">
        <v>42307</v>
      </c>
      <c r="B668">
        <v>102.938</v>
      </c>
      <c r="C668">
        <v>134.86600000000001</v>
      </c>
      <c r="D668">
        <v>160.06299999999999</v>
      </c>
      <c r="E668">
        <v>210.172</v>
      </c>
      <c r="F668">
        <v>7.0000000000000007E-2</v>
      </c>
      <c r="G668">
        <v>0.38300000000000001</v>
      </c>
      <c r="H668">
        <v>0.64600000000000002</v>
      </c>
      <c r="I668">
        <v>0.88300000000000001</v>
      </c>
      <c r="J668">
        <v>1.252</v>
      </c>
      <c r="K668">
        <v>0.13105325942383317</v>
      </c>
      <c r="L668" s="112">
        <f>VLOOKUP(A668,[3]RESUMEN!$A:$AE,31,1)</f>
        <v>1.4366060843360243E-2</v>
      </c>
      <c r="M668" s="113">
        <f>VLOOKUP(A668,[3]RESUMEN!$A:$AH,34,1)</f>
        <v>-0.59625996538230752</v>
      </c>
      <c r="N668" s="113">
        <f>VLOOKUP(A668,[3]RESUMEN!$A:$AI,35,1)</f>
        <v>-0.29094695226947365</v>
      </c>
    </row>
    <row r="669" spans="1:14" x14ac:dyDescent="0.25">
      <c r="A669" s="102">
        <v>42314</v>
      </c>
      <c r="B669">
        <v>98.644000000000005</v>
      </c>
      <c r="C669">
        <v>129.79</v>
      </c>
      <c r="D669">
        <v>154.88</v>
      </c>
      <c r="E669">
        <v>205.352</v>
      </c>
      <c r="F669">
        <v>0.12</v>
      </c>
      <c r="G669">
        <v>0.46899999999999997</v>
      </c>
      <c r="H669">
        <v>0.78200000000000003</v>
      </c>
      <c r="I669">
        <v>1.054</v>
      </c>
      <c r="J669">
        <v>1.4430000000000001</v>
      </c>
      <c r="K669">
        <v>0.1288641584145096</v>
      </c>
      <c r="L669" s="112">
        <f>VLOOKUP(A669,[3]RESUMEN!$A:$AE,31,1)</f>
        <v>1.4366060843360243E-2</v>
      </c>
      <c r="M669" s="113">
        <f>VLOOKUP(A669,[3]RESUMEN!$A:$AH,34,1)</f>
        <v>-0.59625996538230752</v>
      </c>
      <c r="N669" s="113">
        <f>VLOOKUP(A669,[3]RESUMEN!$A:$AI,35,1)</f>
        <v>-0.29094695226947365</v>
      </c>
    </row>
    <row r="670" spans="1:14" x14ac:dyDescent="0.25">
      <c r="A670" s="102">
        <v>42321</v>
      </c>
      <c r="B670">
        <v>108.968</v>
      </c>
      <c r="C670">
        <v>143.613</v>
      </c>
      <c r="D670">
        <v>169.233</v>
      </c>
      <c r="E670">
        <v>219.65199999999999</v>
      </c>
      <c r="F670">
        <v>0.12</v>
      </c>
      <c r="G670">
        <v>0.45100000000000001</v>
      </c>
      <c r="H670">
        <v>0.73399999999999999</v>
      </c>
      <c r="I670">
        <v>0.99399999999999999</v>
      </c>
      <c r="J670">
        <v>1.3599999999999999</v>
      </c>
      <c r="K670">
        <v>0.13715279867645769</v>
      </c>
      <c r="L670" s="112">
        <f>VLOOKUP(A670,[3]RESUMEN!$A:$AE,31,1)</f>
        <v>1.4366060843360243E-2</v>
      </c>
      <c r="M670" s="113">
        <f>VLOOKUP(A670,[3]RESUMEN!$A:$AH,34,1)</f>
        <v>-0.59625996538230752</v>
      </c>
      <c r="N670" s="113">
        <f>VLOOKUP(A670,[3]RESUMEN!$A:$AI,35,1)</f>
        <v>-0.29094695226947365</v>
      </c>
    </row>
    <row r="671" spans="1:14" x14ac:dyDescent="0.25">
      <c r="A671" s="102">
        <v>42328</v>
      </c>
      <c r="B671">
        <v>104.062</v>
      </c>
      <c r="C671">
        <v>138.822</v>
      </c>
      <c r="D671">
        <v>164.041</v>
      </c>
      <c r="E671">
        <v>214.22800000000001</v>
      </c>
      <c r="F671">
        <v>0.12</v>
      </c>
      <c r="G671">
        <v>0.48199999999999998</v>
      </c>
      <c r="H671">
        <v>0.752</v>
      </c>
      <c r="I671">
        <v>0.99199999999999999</v>
      </c>
      <c r="J671">
        <v>1.337</v>
      </c>
      <c r="K671">
        <v>0.13402163851039928</v>
      </c>
      <c r="L671" s="112">
        <f>VLOOKUP(A671,[3]RESUMEN!$A:$AE,31,1)</f>
        <v>1.4366060843360243E-2</v>
      </c>
      <c r="M671" s="113">
        <f>VLOOKUP(A671,[3]RESUMEN!$A:$AH,34,1)</f>
        <v>-0.59625996538230752</v>
      </c>
      <c r="N671" s="113">
        <f>VLOOKUP(A671,[3]RESUMEN!$A:$AI,35,1)</f>
        <v>-0.29094695226947365</v>
      </c>
    </row>
    <row r="672" spans="1:14" x14ac:dyDescent="0.25">
      <c r="A672" s="102">
        <v>42335</v>
      </c>
      <c r="B672">
        <v>108.27</v>
      </c>
      <c r="C672">
        <v>144.92699999999999</v>
      </c>
      <c r="D672">
        <v>169.87799999999999</v>
      </c>
      <c r="E672">
        <v>219.57900000000001</v>
      </c>
      <c r="F672">
        <v>0.12</v>
      </c>
      <c r="G672">
        <v>0.504</v>
      </c>
      <c r="H672">
        <v>0.77300000000000002</v>
      </c>
      <c r="I672">
        <v>1.0049999999999999</v>
      </c>
      <c r="J672">
        <v>1.3320000000000001</v>
      </c>
      <c r="K672">
        <v>0.13710584207049381</v>
      </c>
      <c r="L672" s="112">
        <f>VLOOKUP(A672,[3]RESUMEN!$A:$AE,31,1)</f>
        <v>1.4366060843360243E-2</v>
      </c>
      <c r="M672" s="113">
        <f>VLOOKUP(A672,[3]RESUMEN!$A:$AH,34,1)</f>
        <v>-0.59625996538230752</v>
      </c>
      <c r="N672" s="113">
        <f>VLOOKUP(A672,[3]RESUMEN!$A:$AI,35,1)</f>
        <v>-0.29094695226947365</v>
      </c>
    </row>
    <row r="673" spans="1:14" x14ac:dyDescent="0.25">
      <c r="A673" s="102">
        <v>42342</v>
      </c>
      <c r="B673">
        <v>113.92700000000001</v>
      </c>
      <c r="C673">
        <v>153.03399999999999</v>
      </c>
      <c r="D673">
        <v>178.07300000000001</v>
      </c>
      <c r="E673">
        <v>231.56399999999999</v>
      </c>
      <c r="F673">
        <v>0.13</v>
      </c>
      <c r="G673">
        <v>0.54</v>
      </c>
      <c r="H673">
        <v>0.81799999999999995</v>
      </c>
      <c r="I673">
        <v>1.05</v>
      </c>
      <c r="J673">
        <v>1.387</v>
      </c>
      <c r="K673">
        <v>0.14406981649102035</v>
      </c>
      <c r="L673" s="112">
        <f>VLOOKUP(A673,[3]RESUMEN!$A:$AE,31,1)</f>
        <v>1.4366060843360243E-2</v>
      </c>
      <c r="M673" s="113">
        <f>VLOOKUP(A673,[3]RESUMEN!$A:$AH,34,1)</f>
        <v>-0.59625996538230752</v>
      </c>
      <c r="N673" s="113">
        <f>VLOOKUP(A673,[3]RESUMEN!$A:$AI,35,1)</f>
        <v>-0.29094695226947365</v>
      </c>
    </row>
    <row r="674" spans="1:14" x14ac:dyDescent="0.25">
      <c r="A674" s="102">
        <v>42349</v>
      </c>
      <c r="B674">
        <v>136.12899999999999</v>
      </c>
      <c r="C674">
        <v>179.85300000000001</v>
      </c>
      <c r="D674">
        <v>207.78399999999999</v>
      </c>
      <c r="E674">
        <v>256.142</v>
      </c>
      <c r="F674">
        <v>0.14000000000000001</v>
      </c>
      <c r="G674">
        <v>0.503</v>
      </c>
      <c r="H674">
        <v>0.74199999999999999</v>
      </c>
      <c r="I674">
        <v>0.95299999999999996</v>
      </c>
      <c r="J674">
        <v>1.27</v>
      </c>
      <c r="K674">
        <v>0.15790849321069256</v>
      </c>
      <c r="L674" s="112">
        <f>VLOOKUP(A674,[3]RESUMEN!$A:$AE,31,1)</f>
        <v>1.4366060843360243E-2</v>
      </c>
      <c r="M674" s="113">
        <f>VLOOKUP(A674,[3]RESUMEN!$A:$AH,34,1)</f>
        <v>-0.59625996538230752</v>
      </c>
      <c r="N674" s="113">
        <f>VLOOKUP(A674,[3]RESUMEN!$A:$AI,35,1)</f>
        <v>-0.29094695226947365</v>
      </c>
    </row>
    <row r="675" spans="1:14" x14ac:dyDescent="0.25">
      <c r="A675" s="102">
        <v>42356</v>
      </c>
      <c r="B675">
        <v>123.58499999999999</v>
      </c>
      <c r="C675">
        <v>164.208</v>
      </c>
      <c r="D675">
        <v>192.94399999999999</v>
      </c>
      <c r="E675">
        <v>245.089</v>
      </c>
      <c r="F675">
        <v>0.37</v>
      </c>
      <c r="G675">
        <v>0.56399999999999995</v>
      </c>
      <c r="H675">
        <v>0.82599999999999996</v>
      </c>
      <c r="I675">
        <v>1.05</v>
      </c>
      <c r="J675">
        <v>1.3679999999999999</v>
      </c>
      <c r="K675">
        <v>0.15178552488118369</v>
      </c>
      <c r="L675" s="112">
        <f>VLOOKUP(A675,[3]RESUMEN!$A:$AE,31,1)</f>
        <v>1.4366060843360243E-2</v>
      </c>
      <c r="M675" s="113">
        <f>VLOOKUP(A675,[3]RESUMEN!$A:$AH,34,1)</f>
        <v>-0.59625996538230752</v>
      </c>
      <c r="N675" s="113">
        <f>VLOOKUP(A675,[3]RESUMEN!$A:$AI,35,1)</f>
        <v>-0.29094695226947365</v>
      </c>
    </row>
    <row r="676" spans="1:14" x14ac:dyDescent="0.25">
      <c r="A676" s="102">
        <v>42363</v>
      </c>
      <c r="B676">
        <v>118.863</v>
      </c>
      <c r="C676">
        <v>159.86799999999999</v>
      </c>
      <c r="D676">
        <v>185.91399999999999</v>
      </c>
      <c r="E676">
        <v>240.733</v>
      </c>
      <c r="F676">
        <v>0.36</v>
      </c>
      <c r="G676">
        <v>0.59299999999999997</v>
      </c>
      <c r="H676">
        <v>0.86199999999999999</v>
      </c>
      <c r="I676">
        <v>1.081</v>
      </c>
      <c r="J676">
        <v>1.3919999999999999</v>
      </c>
      <c r="K676">
        <v>0.14935163272812291</v>
      </c>
      <c r="L676" s="112">
        <f>VLOOKUP(A676,[3]RESUMEN!$A:$AE,31,1)</f>
        <v>1.4366060843360243E-2</v>
      </c>
      <c r="M676" s="113">
        <f>VLOOKUP(A676,[3]RESUMEN!$A:$AH,34,1)</f>
        <v>-0.59625996538230752</v>
      </c>
      <c r="N676" s="113">
        <f>VLOOKUP(A676,[3]RESUMEN!$A:$AI,35,1)</f>
        <v>-0.29094695226947365</v>
      </c>
    </row>
    <row r="677" spans="1:14" x14ac:dyDescent="0.25">
      <c r="A677" s="102">
        <v>42370</v>
      </c>
      <c r="B677">
        <v>120.85</v>
      </c>
      <c r="C677">
        <v>162.43600000000001</v>
      </c>
      <c r="D677">
        <v>190.852</v>
      </c>
      <c r="E677">
        <v>242.821</v>
      </c>
      <c r="F677">
        <v>0.2</v>
      </c>
      <c r="G677">
        <v>0.61199999999999999</v>
      </c>
      <c r="H677">
        <v>0.90600000000000003</v>
      </c>
      <c r="I677">
        <v>1.1320000000000001</v>
      </c>
      <c r="J677">
        <v>1.4279999999999999</v>
      </c>
      <c r="K677">
        <v>0.1507264989364252</v>
      </c>
      <c r="L677" s="112">
        <f>VLOOKUP(A677,[3]RESUMEN!$A:$AE,31,1)</f>
        <v>-6.5393708985575658E-2</v>
      </c>
      <c r="M677" s="113">
        <f>VLOOKUP(A677,[3]RESUMEN!$A:$AH,34,1)</f>
        <v>-0.46620035857876363</v>
      </c>
      <c r="N677" s="113">
        <f>VLOOKUP(A677,[3]RESUMEN!$A:$AI,35,1)</f>
        <v>-0.26579703378216962</v>
      </c>
    </row>
    <row r="678" spans="1:14" x14ac:dyDescent="0.25">
      <c r="A678" s="102">
        <v>42377</v>
      </c>
      <c r="B678">
        <v>145.869</v>
      </c>
      <c r="C678">
        <v>188.399</v>
      </c>
      <c r="D678">
        <v>213.554</v>
      </c>
      <c r="E678">
        <v>264.86799999999999</v>
      </c>
      <c r="F678">
        <v>0.36</v>
      </c>
      <c r="G678">
        <v>0.54900000000000004</v>
      </c>
      <c r="H678">
        <v>0.75700000000000001</v>
      </c>
      <c r="I678">
        <v>0.93300000000000005</v>
      </c>
      <c r="J678">
        <v>1.2110000000000001</v>
      </c>
      <c r="K678">
        <v>0.16284572556470933</v>
      </c>
      <c r="L678" s="112">
        <f>VLOOKUP(A678,[3]RESUMEN!$A:$AE,31,1)</f>
        <v>-6.5393708985575658E-2</v>
      </c>
      <c r="M678" s="113">
        <f>VLOOKUP(A678,[3]RESUMEN!$A:$AH,34,1)</f>
        <v>-0.46620035857876363</v>
      </c>
      <c r="N678" s="113">
        <f>VLOOKUP(A678,[3]RESUMEN!$A:$AI,35,1)</f>
        <v>-0.26579703378216962</v>
      </c>
    </row>
    <row r="679" spans="1:14" x14ac:dyDescent="0.25">
      <c r="A679" s="102">
        <v>42384</v>
      </c>
      <c r="B679">
        <v>156.36000000000001</v>
      </c>
      <c r="C679">
        <v>198.73</v>
      </c>
      <c r="D679">
        <v>229.52099999999999</v>
      </c>
      <c r="E679">
        <v>287.952</v>
      </c>
      <c r="F679">
        <v>0.36</v>
      </c>
      <c r="G679">
        <v>0.48649999999999999</v>
      </c>
      <c r="H679">
        <v>0.64700000000000002</v>
      </c>
      <c r="I679">
        <v>0.80700000000000005</v>
      </c>
      <c r="J679">
        <v>1.0920000000000001</v>
      </c>
      <c r="K679">
        <v>0.17588129109466089</v>
      </c>
      <c r="L679" s="112">
        <f>VLOOKUP(A679,[3]RESUMEN!$A:$AE,31,1)</f>
        <v>-6.5393708985575658E-2</v>
      </c>
      <c r="M679" s="113">
        <f>VLOOKUP(A679,[3]RESUMEN!$A:$AH,34,1)</f>
        <v>-0.46620035857876363</v>
      </c>
      <c r="N679" s="113">
        <f>VLOOKUP(A679,[3]RESUMEN!$A:$AI,35,1)</f>
        <v>-0.26579703378216962</v>
      </c>
    </row>
    <row r="680" spans="1:14" x14ac:dyDescent="0.25">
      <c r="A680" s="102">
        <v>42391</v>
      </c>
      <c r="B680">
        <v>143.24299999999999</v>
      </c>
      <c r="C680">
        <v>192.279</v>
      </c>
      <c r="D680">
        <v>223.982</v>
      </c>
      <c r="E680">
        <v>289.11099999999999</v>
      </c>
      <c r="F680">
        <v>0.38</v>
      </c>
      <c r="G680">
        <v>0.505</v>
      </c>
      <c r="H680">
        <v>0.67600000000000005</v>
      </c>
      <c r="I680">
        <v>0.84199999999999997</v>
      </c>
      <c r="J680">
        <v>1.1360000000000001</v>
      </c>
      <c r="K680">
        <v>0.17675283136310171</v>
      </c>
      <c r="L680" s="112">
        <f>VLOOKUP(A680,[3]RESUMEN!$A:$AE,31,1)</f>
        <v>-6.5393708985575658E-2</v>
      </c>
      <c r="M680" s="113">
        <f>VLOOKUP(A680,[3]RESUMEN!$A:$AH,34,1)</f>
        <v>-0.46620035857876363</v>
      </c>
      <c r="N680" s="113">
        <f>VLOOKUP(A680,[3]RESUMEN!$A:$AI,35,1)</f>
        <v>-0.26579703378216962</v>
      </c>
    </row>
    <row r="681" spans="1:14" x14ac:dyDescent="0.25">
      <c r="A681" s="102">
        <v>42398</v>
      </c>
      <c r="B681">
        <v>126.81100000000001</v>
      </c>
      <c r="C681">
        <v>181.785</v>
      </c>
      <c r="D681">
        <v>217.65600000000001</v>
      </c>
      <c r="E681">
        <v>283.38900000000001</v>
      </c>
      <c r="F681">
        <v>0.28999999999999998</v>
      </c>
      <c r="G681">
        <v>0.45950000000000002</v>
      </c>
      <c r="H681">
        <v>0.58699999999999997</v>
      </c>
      <c r="I681">
        <v>0.73199999999999998</v>
      </c>
      <c r="J681">
        <v>1.01</v>
      </c>
      <c r="K681">
        <v>0.17367174564345789</v>
      </c>
      <c r="L681" s="112">
        <f>VLOOKUP(A681,[3]RESUMEN!$A:$AE,31,1)</f>
        <v>-6.5393708985575658E-2</v>
      </c>
      <c r="M681" s="113">
        <f>VLOOKUP(A681,[3]RESUMEN!$A:$AH,34,1)</f>
        <v>-0.46620035857876363</v>
      </c>
      <c r="N681" s="113">
        <f>VLOOKUP(A681,[3]RESUMEN!$A:$AI,35,1)</f>
        <v>-0.26579703378216962</v>
      </c>
    </row>
    <row r="682" spans="1:14" x14ac:dyDescent="0.25">
      <c r="A682" s="102">
        <v>42405</v>
      </c>
      <c r="B682">
        <v>119.458</v>
      </c>
      <c r="C682">
        <v>186.16</v>
      </c>
      <c r="D682">
        <v>219.33199999999999</v>
      </c>
      <c r="E682">
        <v>288.53199999999998</v>
      </c>
      <c r="F682">
        <v>0.38</v>
      </c>
      <c r="G682">
        <v>0.46700000000000003</v>
      </c>
      <c r="H682">
        <v>0.56100000000000005</v>
      </c>
      <c r="I682">
        <v>0.67600000000000005</v>
      </c>
      <c r="J682">
        <v>0.93100000000000005</v>
      </c>
      <c r="K682">
        <v>0.17659923728724425</v>
      </c>
      <c r="L682" s="112">
        <f>VLOOKUP(A682,[3]RESUMEN!$A:$AE,31,1)</f>
        <v>-6.5393708985575658E-2</v>
      </c>
      <c r="M682" s="113">
        <f>VLOOKUP(A682,[3]RESUMEN!$A:$AH,34,1)</f>
        <v>-0.46620035857876363</v>
      </c>
      <c r="N682" s="113">
        <f>VLOOKUP(A682,[3]RESUMEN!$A:$AI,35,1)</f>
        <v>-0.26579703378216962</v>
      </c>
    </row>
    <row r="683" spans="1:14" x14ac:dyDescent="0.25">
      <c r="A683" s="102">
        <v>42412</v>
      </c>
      <c r="B683">
        <v>143.17699999999999</v>
      </c>
      <c r="C683">
        <v>195.86</v>
      </c>
      <c r="D683">
        <v>234.46700000000001</v>
      </c>
      <c r="E683">
        <v>319.47399999999999</v>
      </c>
      <c r="F683">
        <v>0.38</v>
      </c>
      <c r="G683">
        <v>0.41099999999999998</v>
      </c>
      <c r="H683">
        <v>0.48149999999999998</v>
      </c>
      <c r="I683">
        <v>0.58199999999999996</v>
      </c>
      <c r="J683">
        <v>0.82899999999999996</v>
      </c>
      <c r="K683">
        <v>0.19387286350109234</v>
      </c>
      <c r="L683" s="112">
        <f>VLOOKUP(A683,[3]RESUMEN!$A:$AE,31,1)</f>
        <v>-6.5393708985575658E-2</v>
      </c>
      <c r="M683" s="113">
        <f>VLOOKUP(A683,[3]RESUMEN!$A:$AH,34,1)</f>
        <v>-0.46620035857876363</v>
      </c>
      <c r="N683" s="113">
        <f>VLOOKUP(A683,[3]RESUMEN!$A:$AI,35,1)</f>
        <v>-0.26579703378216962</v>
      </c>
    </row>
    <row r="684" spans="1:14" x14ac:dyDescent="0.25">
      <c r="A684" s="102">
        <v>42419</v>
      </c>
      <c r="B684">
        <v>117.372</v>
      </c>
      <c r="C684">
        <v>173.65100000000001</v>
      </c>
      <c r="D684">
        <v>214.053</v>
      </c>
      <c r="E684">
        <v>290.411</v>
      </c>
      <c r="F684">
        <v>0.38</v>
      </c>
      <c r="G684">
        <v>0.44500000000000001</v>
      </c>
      <c r="H684">
        <v>0.51800000000000002</v>
      </c>
      <c r="I684">
        <v>0.60599999999999998</v>
      </c>
      <c r="J684">
        <v>0.82699999999999996</v>
      </c>
      <c r="K684">
        <v>0.17781603318660411</v>
      </c>
      <c r="L684" s="112">
        <f>VLOOKUP(A684,[3]RESUMEN!$A:$AE,31,1)</f>
        <v>-6.5393708985575658E-2</v>
      </c>
      <c r="M684" s="113">
        <f>VLOOKUP(A684,[3]RESUMEN!$A:$AH,34,1)</f>
        <v>-0.46620035857876363</v>
      </c>
      <c r="N684" s="113">
        <f>VLOOKUP(A684,[3]RESUMEN!$A:$AI,35,1)</f>
        <v>-0.26579703378216962</v>
      </c>
    </row>
    <row r="685" spans="1:14" x14ac:dyDescent="0.25">
      <c r="A685" s="102">
        <v>42426</v>
      </c>
      <c r="B685">
        <v>98.524000000000001</v>
      </c>
      <c r="C685">
        <v>147.58600000000001</v>
      </c>
      <c r="D685">
        <v>199.483</v>
      </c>
      <c r="E685">
        <v>271.74900000000002</v>
      </c>
      <c r="F685">
        <v>0.37</v>
      </c>
      <c r="G685">
        <v>0.48149999999999998</v>
      </c>
      <c r="H685">
        <v>0.54400000000000004</v>
      </c>
      <c r="I685">
        <v>0.622</v>
      </c>
      <c r="J685">
        <v>0.83299999999999996</v>
      </c>
      <c r="K685">
        <v>0.16750500210635733</v>
      </c>
      <c r="L685" s="112">
        <f>VLOOKUP(A685,[3]RESUMEN!$A:$AE,31,1)</f>
        <v>-6.5393708985575658E-2</v>
      </c>
      <c r="M685" s="113">
        <f>VLOOKUP(A685,[3]RESUMEN!$A:$AH,34,1)</f>
        <v>-0.46620035857876363</v>
      </c>
      <c r="N685" s="113">
        <f>VLOOKUP(A685,[3]RESUMEN!$A:$AI,35,1)</f>
        <v>-0.26579703378216962</v>
      </c>
    </row>
    <row r="686" spans="1:14" x14ac:dyDescent="0.25">
      <c r="A686" s="102">
        <v>42433</v>
      </c>
      <c r="B686">
        <v>83.438999999999993</v>
      </c>
      <c r="C686">
        <v>132.62899999999999</v>
      </c>
      <c r="D686">
        <v>172.852</v>
      </c>
      <c r="E686">
        <v>250.00299999999999</v>
      </c>
      <c r="F686">
        <v>0.36</v>
      </c>
      <c r="G686">
        <v>0.51400000000000001</v>
      </c>
      <c r="H686">
        <v>0.63749999999999996</v>
      </c>
      <c r="I686">
        <v>0.753</v>
      </c>
      <c r="J686">
        <v>0.97299999999999998</v>
      </c>
      <c r="K686">
        <v>0.1552511562850909</v>
      </c>
      <c r="L686" s="112">
        <f>VLOOKUP(A686,[3]RESUMEN!$A:$AE,31,1)</f>
        <v>-6.5393708985575658E-2</v>
      </c>
      <c r="M686" s="113">
        <f>VLOOKUP(A686,[3]RESUMEN!$A:$AH,34,1)</f>
        <v>-0.46620035857876363</v>
      </c>
      <c r="N686" s="113">
        <f>VLOOKUP(A686,[3]RESUMEN!$A:$AI,35,1)</f>
        <v>-0.26579703378216962</v>
      </c>
    </row>
    <row r="687" spans="1:14" x14ac:dyDescent="0.25">
      <c r="A687" s="102">
        <v>42440</v>
      </c>
      <c r="B687">
        <v>68.402000000000001</v>
      </c>
      <c r="C687">
        <v>117.303</v>
      </c>
      <c r="D687">
        <v>153.62299999999999</v>
      </c>
      <c r="E687">
        <v>232.029</v>
      </c>
      <c r="F687">
        <v>0.36</v>
      </c>
      <c r="G687">
        <v>0.56599999999999995</v>
      </c>
      <c r="H687">
        <v>0.73199999999999998</v>
      </c>
      <c r="I687">
        <v>0.86899999999999999</v>
      </c>
      <c r="J687">
        <v>1.0900000000000001</v>
      </c>
      <c r="K687">
        <v>0.14498606586829277</v>
      </c>
      <c r="L687" s="112">
        <f>VLOOKUP(A687,[3]RESUMEN!$A:$AE,31,1)</f>
        <v>-6.5393708985575658E-2</v>
      </c>
      <c r="M687" s="113">
        <f>VLOOKUP(A687,[3]RESUMEN!$A:$AH,34,1)</f>
        <v>-0.46620035857876363</v>
      </c>
      <c r="N687" s="113">
        <f>VLOOKUP(A687,[3]RESUMEN!$A:$AI,35,1)</f>
        <v>-0.26579703378216962</v>
      </c>
    </row>
    <row r="688" spans="1:14" x14ac:dyDescent="0.25">
      <c r="A688" s="102">
        <v>42447</v>
      </c>
      <c r="B688">
        <v>51.694000000000003</v>
      </c>
      <c r="C688">
        <v>90.971000000000004</v>
      </c>
      <c r="D688">
        <v>130.089</v>
      </c>
      <c r="E688">
        <v>198.97499999999999</v>
      </c>
      <c r="F688">
        <v>0.37</v>
      </c>
      <c r="G688">
        <v>0.51500000000000001</v>
      </c>
      <c r="H688">
        <v>0.63749999999999996</v>
      </c>
      <c r="I688">
        <v>0.751</v>
      </c>
      <c r="J688">
        <v>0.95699999999999996</v>
      </c>
      <c r="K688">
        <v>0.12561559892681395</v>
      </c>
      <c r="L688" s="112">
        <f>VLOOKUP(A688,[3]RESUMEN!$A:$AE,31,1)</f>
        <v>-6.5393708985575658E-2</v>
      </c>
      <c r="M688" s="113">
        <f>VLOOKUP(A688,[3]RESUMEN!$A:$AH,34,1)</f>
        <v>-0.46620035857876363</v>
      </c>
      <c r="N688" s="113">
        <f>VLOOKUP(A688,[3]RESUMEN!$A:$AI,35,1)</f>
        <v>-0.26579703378216962</v>
      </c>
    </row>
    <row r="689" spans="1:14" x14ac:dyDescent="0.25">
      <c r="A689" s="102">
        <v>42454</v>
      </c>
      <c r="B689">
        <v>74.147999999999996</v>
      </c>
      <c r="C689">
        <v>111.88200000000001</v>
      </c>
      <c r="D689">
        <v>149.982</v>
      </c>
      <c r="E689">
        <v>223.43799999999999</v>
      </c>
      <c r="F689">
        <v>0.37</v>
      </c>
      <c r="G689">
        <v>0.54700000000000004</v>
      </c>
      <c r="H689">
        <v>0.68700000000000006</v>
      </c>
      <c r="I689">
        <v>0.80400000000000005</v>
      </c>
      <c r="J689">
        <v>1.018</v>
      </c>
      <c r="K689">
        <v>0.13994720703307195</v>
      </c>
      <c r="L689" s="112">
        <f>VLOOKUP(A689,[3]RESUMEN!$A:$AE,31,1)</f>
        <v>-6.5393708985575658E-2</v>
      </c>
      <c r="M689" s="113">
        <f>VLOOKUP(A689,[3]RESUMEN!$A:$AH,34,1)</f>
        <v>-0.46620035857876363</v>
      </c>
      <c r="N689" s="113">
        <f>VLOOKUP(A689,[3]RESUMEN!$A:$AI,35,1)</f>
        <v>-0.26579703378216962</v>
      </c>
    </row>
    <row r="690" spans="1:14" x14ac:dyDescent="0.25">
      <c r="A690" s="102">
        <v>42461</v>
      </c>
      <c r="B690">
        <v>64.747</v>
      </c>
      <c r="C690">
        <v>103.23399999999999</v>
      </c>
      <c r="D690">
        <v>141.20699999999999</v>
      </c>
      <c r="E690">
        <v>219.28299999999999</v>
      </c>
      <c r="F690">
        <v>0.37</v>
      </c>
      <c r="G690">
        <v>0.4945</v>
      </c>
      <c r="H690">
        <v>0.58899999999999997</v>
      </c>
      <c r="I690">
        <v>0.68300000000000005</v>
      </c>
      <c r="J690">
        <v>0.877</v>
      </c>
      <c r="K690">
        <v>0.13764553005359392</v>
      </c>
      <c r="L690" s="112">
        <f>VLOOKUP(A690,[3]RESUMEN!$A:$AE,31,1)</f>
        <v>-0.21852202429975609</v>
      </c>
      <c r="M690" s="113">
        <f>VLOOKUP(A690,[3]RESUMEN!$A:$AH,34,1)</f>
        <v>-0.19415048463376816</v>
      </c>
      <c r="N690" s="113">
        <f>VLOOKUP(A690,[3]RESUMEN!$A:$AI,35,1)</f>
        <v>-0.20633625446676213</v>
      </c>
    </row>
    <row r="691" spans="1:14" x14ac:dyDescent="0.25">
      <c r="A691" s="102">
        <v>42468</v>
      </c>
      <c r="B691">
        <v>80.492999999999995</v>
      </c>
      <c r="C691">
        <v>118.679</v>
      </c>
      <c r="D691">
        <v>158.739</v>
      </c>
      <c r="E691">
        <v>239.85900000000001</v>
      </c>
      <c r="F691">
        <v>0.37</v>
      </c>
      <c r="G691">
        <v>0.46600000000000003</v>
      </c>
      <c r="H691">
        <v>0.55500000000000005</v>
      </c>
      <c r="I691">
        <v>0.63800000000000001</v>
      </c>
      <c r="J691">
        <v>0.82699999999999996</v>
      </c>
      <c r="K691">
        <v>0.14953861474395902</v>
      </c>
      <c r="L691" s="112">
        <f>VLOOKUP(A691,[3]RESUMEN!$A:$AE,31,1)</f>
        <v>-0.21852202429975609</v>
      </c>
      <c r="M691" s="113">
        <f>VLOOKUP(A691,[3]RESUMEN!$A:$AH,34,1)</f>
        <v>-0.19415048463376816</v>
      </c>
      <c r="N691" s="113">
        <f>VLOOKUP(A691,[3]RESUMEN!$A:$AI,35,1)</f>
        <v>-0.20633625446676213</v>
      </c>
    </row>
    <row r="692" spans="1:14" x14ac:dyDescent="0.25">
      <c r="A692" s="102">
        <v>42475</v>
      </c>
      <c r="B692">
        <v>62.215000000000003</v>
      </c>
      <c r="C692">
        <v>100.741</v>
      </c>
      <c r="D692">
        <v>138.768</v>
      </c>
      <c r="E692">
        <v>217.71299999999999</v>
      </c>
      <c r="F692">
        <v>0.37</v>
      </c>
      <c r="G692">
        <v>0.46750000000000003</v>
      </c>
      <c r="H692">
        <v>0.56000000000000005</v>
      </c>
      <c r="I692">
        <v>0.64700000000000002</v>
      </c>
      <c r="J692">
        <v>0.83599999999999997</v>
      </c>
      <c r="K692">
        <v>0.13672222287309066</v>
      </c>
      <c r="L692" s="112">
        <f>VLOOKUP(A692,[3]RESUMEN!$A:$AE,31,1)</f>
        <v>-0.21852202429975609</v>
      </c>
      <c r="M692" s="113">
        <f>VLOOKUP(A692,[3]RESUMEN!$A:$AH,34,1)</f>
        <v>-0.19415048463376816</v>
      </c>
      <c r="N692" s="113">
        <f>VLOOKUP(A692,[3]RESUMEN!$A:$AI,35,1)</f>
        <v>-0.20633625446676213</v>
      </c>
    </row>
    <row r="693" spans="1:14" x14ac:dyDescent="0.25">
      <c r="A693" s="102">
        <v>42482</v>
      </c>
      <c r="B693">
        <v>62.232999999999997</v>
      </c>
      <c r="C693">
        <v>101.033</v>
      </c>
      <c r="D693">
        <v>138.96</v>
      </c>
      <c r="E693">
        <v>216.077</v>
      </c>
      <c r="F693">
        <v>0.37</v>
      </c>
      <c r="G693">
        <v>0.51470000000000005</v>
      </c>
      <c r="H693">
        <v>0.64500000000000002</v>
      </c>
      <c r="I693">
        <v>0.76500000000000001</v>
      </c>
      <c r="J693">
        <v>0.97799999999999998</v>
      </c>
      <c r="K693">
        <v>0.13545210911532846</v>
      </c>
      <c r="L693" s="112">
        <f>VLOOKUP(A693,[3]RESUMEN!$A:$AE,31,1)</f>
        <v>-0.21852202429975609</v>
      </c>
      <c r="M693" s="113">
        <f>VLOOKUP(A693,[3]RESUMEN!$A:$AH,34,1)</f>
        <v>-0.19415048463376816</v>
      </c>
      <c r="N693" s="113">
        <f>VLOOKUP(A693,[3]RESUMEN!$A:$AI,35,1)</f>
        <v>-0.20633625446676213</v>
      </c>
    </row>
    <row r="694" spans="1:14" x14ac:dyDescent="0.25">
      <c r="A694" s="102">
        <v>42489</v>
      </c>
      <c r="B694">
        <v>72.213999999999999</v>
      </c>
      <c r="C694">
        <v>107.47</v>
      </c>
      <c r="D694">
        <v>144.06299999999999</v>
      </c>
      <c r="E694">
        <v>218.97900000000001</v>
      </c>
      <c r="F694">
        <v>0.3</v>
      </c>
      <c r="G694">
        <v>0.501</v>
      </c>
      <c r="H694">
        <v>0.61899999999999999</v>
      </c>
      <c r="I694">
        <v>0.72899999999999998</v>
      </c>
      <c r="J694">
        <v>0.9385</v>
      </c>
      <c r="K694">
        <v>0.13738349086000146</v>
      </c>
      <c r="L694" s="112">
        <f>VLOOKUP(A694,[3]RESUMEN!$A:$AE,31,1)</f>
        <v>-0.21852202429975609</v>
      </c>
      <c r="M694" s="113">
        <f>VLOOKUP(A694,[3]RESUMEN!$A:$AH,34,1)</f>
        <v>-0.19415048463376816</v>
      </c>
      <c r="N694" s="113">
        <f>VLOOKUP(A694,[3]RESUMEN!$A:$AI,35,1)</f>
        <v>-0.20633625446676213</v>
      </c>
    </row>
    <row r="695" spans="1:14" x14ac:dyDescent="0.25">
      <c r="A695" s="102">
        <v>42496</v>
      </c>
      <c r="B695">
        <v>76.195999999999998</v>
      </c>
      <c r="C695">
        <v>114.03</v>
      </c>
      <c r="D695">
        <v>151.239</v>
      </c>
      <c r="E695">
        <v>227.57</v>
      </c>
      <c r="F695">
        <v>0.37</v>
      </c>
      <c r="G695">
        <v>0.47949999999999998</v>
      </c>
      <c r="H695">
        <v>0.5766</v>
      </c>
      <c r="I695">
        <v>0.66600000000000004</v>
      </c>
      <c r="J695">
        <v>0.85799999999999998</v>
      </c>
      <c r="K695">
        <v>0.14238205727685205</v>
      </c>
      <c r="L695" s="112">
        <f>VLOOKUP(A695,[3]RESUMEN!$A:$AE,31,1)</f>
        <v>-0.21852202429975609</v>
      </c>
      <c r="M695" s="113">
        <f>VLOOKUP(A695,[3]RESUMEN!$A:$AH,34,1)</f>
        <v>-0.19415048463376816</v>
      </c>
      <c r="N695" s="113">
        <f>VLOOKUP(A695,[3]RESUMEN!$A:$AI,35,1)</f>
        <v>-0.20633625446676213</v>
      </c>
    </row>
    <row r="696" spans="1:14" x14ac:dyDescent="0.25">
      <c r="A696" s="102">
        <v>42503</v>
      </c>
      <c r="B696">
        <v>73.930999999999997</v>
      </c>
      <c r="C696">
        <v>112.322</v>
      </c>
      <c r="D696">
        <v>149.45400000000001</v>
      </c>
      <c r="E696">
        <v>226.58099999999999</v>
      </c>
      <c r="F696">
        <v>0.37</v>
      </c>
      <c r="G696">
        <v>0.48</v>
      </c>
      <c r="H696">
        <v>0.58299999999999996</v>
      </c>
      <c r="I696">
        <v>0.67300000000000004</v>
      </c>
      <c r="J696">
        <v>0.84</v>
      </c>
      <c r="K696">
        <v>0.14238205727685205</v>
      </c>
      <c r="L696" s="112">
        <f>VLOOKUP(A696,[3]RESUMEN!$A:$AE,31,1)</f>
        <v>-0.21852202429975609</v>
      </c>
      <c r="M696" s="113">
        <f>VLOOKUP(A696,[3]RESUMEN!$A:$AH,34,1)</f>
        <v>-0.19415048463376816</v>
      </c>
      <c r="N696" s="113">
        <f>VLOOKUP(A696,[3]RESUMEN!$A:$AI,35,1)</f>
        <v>-0.20633625446676213</v>
      </c>
    </row>
    <row r="697" spans="1:14" x14ac:dyDescent="0.25">
      <c r="A697" s="102">
        <v>42510</v>
      </c>
      <c r="B697">
        <v>79.534999999999997</v>
      </c>
      <c r="C697">
        <v>120.15600000000001</v>
      </c>
      <c r="D697">
        <v>157.691</v>
      </c>
      <c r="E697">
        <v>234.21199999999999</v>
      </c>
      <c r="F697">
        <v>0.37</v>
      </c>
      <c r="G697">
        <v>0.59299999999999997</v>
      </c>
      <c r="H697">
        <v>0.72399999999999998</v>
      </c>
      <c r="I697">
        <v>0.82799999999999996</v>
      </c>
      <c r="J697">
        <v>1.0009999999999999</v>
      </c>
      <c r="K697">
        <v>0.14621363938932186</v>
      </c>
      <c r="L697" s="112">
        <f>VLOOKUP(A697,[3]RESUMEN!$A:$AE,31,1)</f>
        <v>-0.21852202429975609</v>
      </c>
      <c r="M697" s="113">
        <f>VLOOKUP(A697,[3]RESUMEN!$A:$AH,34,1)</f>
        <v>-0.19415048463376816</v>
      </c>
      <c r="N697" s="113">
        <f>VLOOKUP(A697,[3]RESUMEN!$A:$AI,35,1)</f>
        <v>-0.20633625446676213</v>
      </c>
    </row>
    <row r="698" spans="1:14" x14ac:dyDescent="0.25">
      <c r="A698" s="102">
        <v>42517</v>
      </c>
      <c r="B698">
        <v>81.411000000000001</v>
      </c>
      <c r="C698">
        <v>118.789</v>
      </c>
      <c r="D698">
        <v>155.88800000000001</v>
      </c>
      <c r="E698">
        <v>231.84200000000001</v>
      </c>
      <c r="F698">
        <v>0.37</v>
      </c>
      <c r="G698">
        <v>0.63700000000000001</v>
      </c>
      <c r="H698">
        <v>0.78300000000000003</v>
      </c>
      <c r="I698">
        <v>0.89400000000000002</v>
      </c>
      <c r="J698">
        <v>1.044</v>
      </c>
      <c r="K698">
        <v>0.14486295548886141</v>
      </c>
      <c r="L698" s="112">
        <f>VLOOKUP(A698,[3]RESUMEN!$A:$AE,31,1)</f>
        <v>-0.21852202429975609</v>
      </c>
      <c r="M698" s="113">
        <f>VLOOKUP(A698,[3]RESUMEN!$A:$AH,34,1)</f>
        <v>-0.19415048463376816</v>
      </c>
      <c r="N698" s="113">
        <f>VLOOKUP(A698,[3]RESUMEN!$A:$AI,35,1)</f>
        <v>-0.20633625446676213</v>
      </c>
    </row>
    <row r="699" spans="1:14" x14ac:dyDescent="0.25">
      <c r="A699" s="102">
        <v>42524</v>
      </c>
      <c r="B699">
        <v>77.968999999999994</v>
      </c>
      <c r="C699">
        <v>113.255</v>
      </c>
      <c r="D699">
        <v>150.21199999999999</v>
      </c>
      <c r="E699">
        <v>226.18799999999999</v>
      </c>
      <c r="F699">
        <v>0.37</v>
      </c>
      <c r="G699">
        <v>0.52</v>
      </c>
      <c r="H699">
        <v>0.62849999999999995</v>
      </c>
      <c r="I699">
        <v>0.72</v>
      </c>
      <c r="J699">
        <v>0.88400000000000001</v>
      </c>
      <c r="K699">
        <v>0.14157232588893209</v>
      </c>
      <c r="L699" s="112">
        <f>VLOOKUP(A699,[3]RESUMEN!$A:$AE,31,1)</f>
        <v>-0.21852202429975609</v>
      </c>
      <c r="M699" s="113">
        <f>VLOOKUP(A699,[3]RESUMEN!$A:$AH,34,1)</f>
        <v>-0.19415048463376816</v>
      </c>
      <c r="N699" s="113">
        <f>VLOOKUP(A699,[3]RESUMEN!$A:$AI,35,1)</f>
        <v>-0.20633625446676213</v>
      </c>
    </row>
    <row r="700" spans="1:14" x14ac:dyDescent="0.25">
      <c r="A700" s="102">
        <v>42531</v>
      </c>
      <c r="B700">
        <v>72.278999999999996</v>
      </c>
      <c r="C700">
        <v>107.67</v>
      </c>
      <c r="D700">
        <v>143.929</v>
      </c>
      <c r="E700">
        <v>218.547</v>
      </c>
      <c r="F700">
        <v>0.37</v>
      </c>
      <c r="G700">
        <v>0.48849999999999999</v>
      </c>
      <c r="H700">
        <v>0.57499999999999996</v>
      </c>
      <c r="I700">
        <v>0.65500000000000003</v>
      </c>
      <c r="J700">
        <v>0.80800000000000005</v>
      </c>
      <c r="K700">
        <v>0.13712162945709683</v>
      </c>
      <c r="L700" s="112">
        <f>VLOOKUP(A700,[3]RESUMEN!$A:$AE,31,1)</f>
        <v>-0.21852202429975609</v>
      </c>
      <c r="M700" s="113">
        <f>VLOOKUP(A700,[3]RESUMEN!$A:$AH,34,1)</f>
        <v>-0.19415048463376816</v>
      </c>
      <c r="N700" s="113">
        <f>VLOOKUP(A700,[3]RESUMEN!$A:$AI,35,1)</f>
        <v>-0.20633625446676213</v>
      </c>
    </row>
    <row r="701" spans="1:14" x14ac:dyDescent="0.25">
      <c r="A701" s="102">
        <v>42538</v>
      </c>
      <c r="B701">
        <v>79.063999999999993</v>
      </c>
      <c r="C701">
        <v>119.754</v>
      </c>
      <c r="D701">
        <v>157.89099999999999</v>
      </c>
      <c r="E701">
        <v>234.249</v>
      </c>
      <c r="F701">
        <v>0.38</v>
      </c>
      <c r="G701">
        <v>0.45650000000000002</v>
      </c>
      <c r="H701">
        <v>0.54</v>
      </c>
      <c r="I701">
        <v>0.61099999999999999</v>
      </c>
      <c r="J701">
        <v>0.76500000000000001</v>
      </c>
      <c r="K701">
        <v>0.14622575469507459</v>
      </c>
      <c r="L701" s="112">
        <f>VLOOKUP(A701,[3]RESUMEN!$A:$AE,31,1)</f>
        <v>-0.21852202429975609</v>
      </c>
      <c r="M701" s="113">
        <f>VLOOKUP(A701,[3]RESUMEN!$A:$AH,34,1)</f>
        <v>-0.19415048463376816</v>
      </c>
      <c r="N701" s="113">
        <f>VLOOKUP(A701,[3]RESUMEN!$A:$AI,35,1)</f>
        <v>-0.20633625446676213</v>
      </c>
    </row>
    <row r="702" spans="1:14" x14ac:dyDescent="0.25">
      <c r="A702" s="102">
        <v>42545</v>
      </c>
      <c r="B702">
        <v>75.378</v>
      </c>
      <c r="C702">
        <v>115.405</v>
      </c>
      <c r="D702">
        <v>156.685</v>
      </c>
      <c r="E702">
        <v>229.55799999999999</v>
      </c>
      <c r="F702">
        <v>0.4</v>
      </c>
      <c r="G702">
        <v>0.36630000000000001</v>
      </c>
      <c r="H702">
        <v>0.43280000000000002</v>
      </c>
      <c r="I702">
        <v>0.51500000000000001</v>
      </c>
      <c r="J702">
        <v>0.68700000000000006</v>
      </c>
      <c r="K702">
        <v>0.14350458051385051</v>
      </c>
      <c r="L702" s="112">
        <f>VLOOKUP(A702,[3]RESUMEN!$A:$AE,31,1)</f>
        <v>-0.21852202429975609</v>
      </c>
      <c r="M702" s="113">
        <f>VLOOKUP(A702,[3]RESUMEN!$A:$AH,34,1)</f>
        <v>-0.19415048463376816</v>
      </c>
      <c r="N702" s="113">
        <f>VLOOKUP(A702,[3]RESUMEN!$A:$AI,35,1)</f>
        <v>-0.20633625446676213</v>
      </c>
    </row>
    <row r="703" spans="1:14" x14ac:dyDescent="0.25">
      <c r="A703" s="102">
        <v>42552</v>
      </c>
      <c r="B703">
        <v>56.636000000000003</v>
      </c>
      <c r="C703">
        <v>92.429000000000002</v>
      </c>
      <c r="D703">
        <v>126.342</v>
      </c>
      <c r="E703">
        <v>203.06899999999999</v>
      </c>
      <c r="F703">
        <v>0.41</v>
      </c>
      <c r="G703">
        <v>0.39700000000000002</v>
      </c>
      <c r="H703">
        <v>0.441</v>
      </c>
      <c r="I703">
        <v>0.499</v>
      </c>
      <c r="J703">
        <v>0.63900000000000001</v>
      </c>
      <c r="K703">
        <v>0.12813101301425134</v>
      </c>
      <c r="L703" s="112">
        <f>VLOOKUP(A703,[3]RESUMEN!$A:$AE,31,1)</f>
        <v>-0.33050202769037967</v>
      </c>
      <c r="M703" s="113">
        <f>VLOOKUP(A703,[3]RESUMEN!$A:$AH,34,1)</f>
        <v>1.3599380139649774E-2</v>
      </c>
      <c r="N703" s="113">
        <f>VLOOKUP(A703,[3]RESUMEN!$A:$AI,35,1)</f>
        <v>-0.15845132377536494</v>
      </c>
    </row>
    <row r="704" spans="1:14" x14ac:dyDescent="0.25">
      <c r="A704" s="102">
        <v>42559</v>
      </c>
      <c r="B704">
        <v>59.884</v>
      </c>
      <c r="C704">
        <v>89.072999999999993</v>
      </c>
      <c r="D704">
        <v>123.377</v>
      </c>
      <c r="E704">
        <v>196.626</v>
      </c>
      <c r="F704">
        <v>0.4</v>
      </c>
      <c r="G704">
        <v>0.41449999999999998</v>
      </c>
      <c r="H704">
        <v>0.44800000000000001</v>
      </c>
      <c r="I704">
        <v>0.48299999999999998</v>
      </c>
      <c r="J704">
        <v>0.57899999999999996</v>
      </c>
      <c r="K704">
        <v>0.12427085966767493</v>
      </c>
      <c r="L704" s="112">
        <f>VLOOKUP(A704,[3]RESUMEN!$A:$AE,31,1)</f>
        <v>-0.33050202769037967</v>
      </c>
      <c r="M704" s="113">
        <f>VLOOKUP(A704,[3]RESUMEN!$A:$AH,34,1)</f>
        <v>1.3599380139649774E-2</v>
      </c>
      <c r="N704" s="113">
        <f>VLOOKUP(A704,[3]RESUMEN!$A:$AI,35,1)</f>
        <v>-0.15845132377536494</v>
      </c>
    </row>
    <row r="705" spans="1:14" x14ac:dyDescent="0.25">
      <c r="A705" s="102">
        <v>42566</v>
      </c>
      <c r="B705">
        <v>59.231999999999999</v>
      </c>
      <c r="C705">
        <v>85.97</v>
      </c>
      <c r="D705">
        <v>117.96</v>
      </c>
      <c r="E705">
        <v>187.84399999999999</v>
      </c>
      <c r="F705">
        <v>0.4</v>
      </c>
      <c r="G705">
        <v>0.46899999999999997</v>
      </c>
      <c r="H705">
        <v>0.54749999999999999</v>
      </c>
      <c r="I705">
        <v>0.61599999999999999</v>
      </c>
      <c r="J705">
        <v>0.73899999999999999</v>
      </c>
      <c r="K705">
        <v>0.11900128670976173</v>
      </c>
      <c r="L705" s="112">
        <f>VLOOKUP(A705,[3]RESUMEN!$A:$AE,31,1)</f>
        <v>-0.33050202769037967</v>
      </c>
      <c r="M705" s="113">
        <f>VLOOKUP(A705,[3]RESUMEN!$A:$AH,34,1)</f>
        <v>1.3599380139649774E-2</v>
      </c>
      <c r="N705" s="113">
        <f>VLOOKUP(A705,[3]RESUMEN!$A:$AI,35,1)</f>
        <v>-0.15845132377536494</v>
      </c>
    </row>
    <row r="706" spans="1:14" x14ac:dyDescent="0.25">
      <c r="A706" s="102">
        <v>42573</v>
      </c>
      <c r="B706">
        <v>47.805</v>
      </c>
      <c r="C706">
        <v>78.343999999999994</v>
      </c>
      <c r="D706">
        <v>110.726</v>
      </c>
      <c r="E706">
        <v>180.04</v>
      </c>
      <c r="F706">
        <v>0.4</v>
      </c>
      <c r="G706">
        <v>0.501</v>
      </c>
      <c r="H706">
        <v>0.58550000000000002</v>
      </c>
      <c r="I706">
        <v>0.65100000000000002</v>
      </c>
      <c r="J706">
        <v>0.76900000000000002</v>
      </c>
      <c r="K706">
        <v>0.11437797643372272</v>
      </c>
      <c r="L706" s="112">
        <f>VLOOKUP(A706,[3]RESUMEN!$A:$AE,31,1)</f>
        <v>-0.33050202769037967</v>
      </c>
      <c r="M706" s="113">
        <f>VLOOKUP(A706,[3]RESUMEN!$A:$AH,34,1)</f>
        <v>1.3599380139649774E-2</v>
      </c>
      <c r="N706" s="113">
        <f>VLOOKUP(A706,[3]RESUMEN!$A:$AI,35,1)</f>
        <v>-0.15845132377536494</v>
      </c>
    </row>
    <row r="707" spans="1:14" x14ac:dyDescent="0.25">
      <c r="A707" s="102">
        <v>42580</v>
      </c>
      <c r="B707">
        <v>55.405999999999999</v>
      </c>
      <c r="C707">
        <v>92.528999999999996</v>
      </c>
      <c r="D707">
        <v>125.768</v>
      </c>
      <c r="E707">
        <v>196.97800000000001</v>
      </c>
      <c r="F707">
        <v>0.3</v>
      </c>
      <c r="G707">
        <v>0.45729999999999998</v>
      </c>
      <c r="H707">
        <v>0.50600000000000001</v>
      </c>
      <c r="I707">
        <v>0.55400000000000005</v>
      </c>
      <c r="J707">
        <v>0.66100000000000003</v>
      </c>
      <c r="K707">
        <v>0.12443086061768593</v>
      </c>
      <c r="L707" s="112">
        <f>VLOOKUP(A707,[3]RESUMEN!$A:$AE,31,1)</f>
        <v>-0.33050202769037967</v>
      </c>
      <c r="M707" s="113">
        <f>VLOOKUP(A707,[3]RESUMEN!$A:$AH,34,1)</f>
        <v>1.3599380139649774E-2</v>
      </c>
      <c r="N707" s="113">
        <f>VLOOKUP(A707,[3]RESUMEN!$A:$AI,35,1)</f>
        <v>-0.15845132377536494</v>
      </c>
    </row>
    <row r="708" spans="1:14" x14ac:dyDescent="0.25">
      <c r="A708" s="102">
        <v>42587</v>
      </c>
      <c r="B708">
        <v>52.901000000000003</v>
      </c>
      <c r="C708">
        <v>80.45</v>
      </c>
      <c r="D708">
        <v>111.645</v>
      </c>
      <c r="E708">
        <v>184.88399999999999</v>
      </c>
      <c r="F708">
        <v>0.4</v>
      </c>
      <c r="G708">
        <v>0.50600000000000001</v>
      </c>
      <c r="H708">
        <v>0.58099999999999996</v>
      </c>
      <c r="I708">
        <v>0.64300000000000002</v>
      </c>
      <c r="J708">
        <v>0.76400000000000001</v>
      </c>
      <c r="K708">
        <v>0.11729973078520717</v>
      </c>
      <c r="L708" s="112">
        <f>VLOOKUP(A708,[3]RESUMEN!$A:$AE,31,1)</f>
        <v>-0.33050202769037967</v>
      </c>
      <c r="M708" s="113">
        <f>VLOOKUP(A708,[3]RESUMEN!$A:$AH,34,1)</f>
        <v>1.3599380139649774E-2</v>
      </c>
      <c r="N708" s="113">
        <f>VLOOKUP(A708,[3]RESUMEN!$A:$AI,35,1)</f>
        <v>-0.15845132377536494</v>
      </c>
    </row>
    <row r="709" spans="1:14" x14ac:dyDescent="0.25">
      <c r="A709" s="102">
        <v>42594</v>
      </c>
      <c r="B709">
        <v>48.067999999999998</v>
      </c>
      <c r="C709">
        <v>76.819000000000003</v>
      </c>
      <c r="D709">
        <v>104.746</v>
      </c>
      <c r="E709">
        <v>174.06399999999999</v>
      </c>
      <c r="F709">
        <v>0.4</v>
      </c>
      <c r="G709">
        <v>0.49099999999999999</v>
      </c>
      <c r="H709">
        <v>0.56510000000000005</v>
      </c>
      <c r="I709">
        <v>0.622</v>
      </c>
      <c r="J709">
        <v>0.73850000000000005</v>
      </c>
      <c r="K709">
        <v>0.11077581119523339</v>
      </c>
      <c r="L709" s="112">
        <f>VLOOKUP(A709,[3]RESUMEN!$A:$AE,31,1)</f>
        <v>-0.33050202769037967</v>
      </c>
      <c r="M709" s="113">
        <f>VLOOKUP(A709,[3]RESUMEN!$A:$AH,34,1)</f>
        <v>1.3599380139649774E-2</v>
      </c>
      <c r="N709" s="113">
        <f>VLOOKUP(A709,[3]RESUMEN!$A:$AI,35,1)</f>
        <v>-0.15845132377536494</v>
      </c>
    </row>
    <row r="710" spans="1:14" x14ac:dyDescent="0.25">
      <c r="A710" s="102">
        <v>42601</v>
      </c>
      <c r="B710">
        <v>43.530999999999999</v>
      </c>
      <c r="C710">
        <v>68.87</v>
      </c>
      <c r="D710">
        <v>98.218000000000004</v>
      </c>
      <c r="E710">
        <v>165.56700000000001</v>
      </c>
      <c r="F710">
        <v>0.4</v>
      </c>
      <c r="G710">
        <v>0.53200000000000003</v>
      </c>
      <c r="H710">
        <v>0.61399999999999999</v>
      </c>
      <c r="I710">
        <v>0.67500000000000004</v>
      </c>
      <c r="J710">
        <v>0.79</v>
      </c>
      <c r="K710">
        <v>0.10566330589870432</v>
      </c>
      <c r="L710" s="112">
        <f>VLOOKUP(A710,[3]RESUMEN!$A:$AE,31,1)</f>
        <v>-0.33050202769037967</v>
      </c>
      <c r="M710" s="113">
        <f>VLOOKUP(A710,[3]RESUMEN!$A:$AH,34,1)</f>
        <v>1.3599380139649774E-2</v>
      </c>
      <c r="N710" s="113">
        <f>VLOOKUP(A710,[3]RESUMEN!$A:$AI,35,1)</f>
        <v>-0.15845132377536494</v>
      </c>
    </row>
    <row r="711" spans="1:14" x14ac:dyDescent="0.25">
      <c r="A711" s="102">
        <v>42608</v>
      </c>
      <c r="B711">
        <v>44.298999999999999</v>
      </c>
      <c r="C711">
        <v>73.5</v>
      </c>
      <c r="D711">
        <v>102.30800000000001</v>
      </c>
      <c r="E711">
        <v>171.18100000000001</v>
      </c>
      <c r="F711">
        <v>0.4</v>
      </c>
      <c r="G711">
        <v>0.58950000000000002</v>
      </c>
      <c r="H711">
        <v>0.68640000000000001</v>
      </c>
      <c r="I711">
        <v>0.752</v>
      </c>
      <c r="J711">
        <v>0.86099999999999999</v>
      </c>
      <c r="K711">
        <v>0.10906059970226978</v>
      </c>
      <c r="L711" s="112">
        <f>VLOOKUP(A711,[3]RESUMEN!$A:$AE,31,1)</f>
        <v>-0.33050202769037967</v>
      </c>
      <c r="M711" s="113">
        <f>VLOOKUP(A711,[3]RESUMEN!$A:$AH,34,1)</f>
        <v>1.3599380139649774E-2</v>
      </c>
      <c r="N711" s="113">
        <f>VLOOKUP(A711,[3]RESUMEN!$A:$AI,35,1)</f>
        <v>-0.15845132377536494</v>
      </c>
    </row>
    <row r="712" spans="1:14" x14ac:dyDescent="0.25">
      <c r="A712" s="102">
        <v>42615</v>
      </c>
      <c r="B712">
        <v>44.515000000000001</v>
      </c>
      <c r="C712">
        <v>71.519000000000005</v>
      </c>
      <c r="D712">
        <v>100.408</v>
      </c>
      <c r="E712">
        <v>167.857</v>
      </c>
      <c r="F712">
        <v>0.4</v>
      </c>
      <c r="G712">
        <v>0.57599999999999996</v>
      </c>
      <c r="H712">
        <v>0.65800000000000003</v>
      </c>
      <c r="I712">
        <v>0.71799999999999997</v>
      </c>
      <c r="J712">
        <v>0.82199999999999995</v>
      </c>
      <c r="K712">
        <v>0.10703591854336114</v>
      </c>
      <c r="L712" s="112">
        <f>VLOOKUP(A712,[3]RESUMEN!$A:$AE,31,1)</f>
        <v>-0.33050202769037967</v>
      </c>
      <c r="M712" s="113">
        <f>VLOOKUP(A712,[3]RESUMEN!$A:$AH,34,1)</f>
        <v>1.3599380139649774E-2</v>
      </c>
      <c r="N712" s="113">
        <f>VLOOKUP(A712,[3]RESUMEN!$A:$AI,35,1)</f>
        <v>-0.15845132377536494</v>
      </c>
    </row>
    <row r="713" spans="1:14" x14ac:dyDescent="0.25">
      <c r="A713" s="102">
        <v>42622</v>
      </c>
      <c r="B713">
        <v>39.137999999999998</v>
      </c>
      <c r="C713">
        <v>63.414999999999999</v>
      </c>
      <c r="D713">
        <v>92.546000000000006</v>
      </c>
      <c r="E713">
        <v>160.75399999999999</v>
      </c>
      <c r="F713">
        <v>0.4</v>
      </c>
      <c r="G713">
        <v>0.57499999999999996</v>
      </c>
      <c r="H713">
        <v>0.66100000000000003</v>
      </c>
      <c r="I713">
        <v>0.72599999999999998</v>
      </c>
      <c r="J713">
        <v>0.85099999999999998</v>
      </c>
      <c r="K713">
        <v>0.10278009803297172</v>
      </c>
      <c r="L713" s="112">
        <f>VLOOKUP(A713,[3]RESUMEN!$A:$AE,31,1)</f>
        <v>-0.33050202769037967</v>
      </c>
      <c r="M713" s="113">
        <f>VLOOKUP(A713,[3]RESUMEN!$A:$AH,34,1)</f>
        <v>1.3599380139649774E-2</v>
      </c>
      <c r="N713" s="113">
        <f>VLOOKUP(A713,[3]RESUMEN!$A:$AI,35,1)</f>
        <v>-0.15845132377536494</v>
      </c>
    </row>
    <row r="714" spans="1:14" x14ac:dyDescent="0.25">
      <c r="A714" s="102">
        <v>42629</v>
      </c>
      <c r="B714">
        <v>50.25</v>
      </c>
      <c r="C714">
        <v>76.337999999999994</v>
      </c>
      <c r="D714">
        <v>106.736</v>
      </c>
      <c r="E714">
        <v>175.44</v>
      </c>
      <c r="F714">
        <v>0.4</v>
      </c>
      <c r="G714">
        <v>0.55500000000000005</v>
      </c>
      <c r="H714">
        <v>0.63300000000000001</v>
      </c>
      <c r="I714">
        <v>0.69799999999999995</v>
      </c>
      <c r="J714">
        <v>0.83199999999999996</v>
      </c>
      <c r="K714">
        <v>0.11159285981488254</v>
      </c>
      <c r="L714" s="112">
        <f>VLOOKUP(A714,[3]RESUMEN!$A:$AE,31,1)</f>
        <v>-0.33050202769037967</v>
      </c>
      <c r="M714" s="113">
        <f>VLOOKUP(A714,[3]RESUMEN!$A:$AH,34,1)</f>
        <v>1.3599380139649774E-2</v>
      </c>
      <c r="N714" s="113">
        <f>VLOOKUP(A714,[3]RESUMEN!$A:$AI,35,1)</f>
        <v>-0.15845132377536494</v>
      </c>
    </row>
    <row r="715" spans="1:14" x14ac:dyDescent="0.25">
      <c r="A715" s="102">
        <v>42636</v>
      </c>
      <c r="B715">
        <v>48.854999999999997</v>
      </c>
      <c r="C715">
        <v>74.581999999999994</v>
      </c>
      <c r="D715">
        <v>105.496</v>
      </c>
      <c r="E715">
        <v>174.21899999999999</v>
      </c>
      <c r="F715">
        <v>0.4</v>
      </c>
      <c r="G715">
        <v>0.55810000000000004</v>
      </c>
      <c r="H715">
        <v>0.63500000000000001</v>
      </c>
      <c r="I715">
        <v>0.69399999999999995</v>
      </c>
      <c r="J715">
        <v>0.80500000000000005</v>
      </c>
      <c r="K715">
        <v>0.11054102856711367</v>
      </c>
      <c r="L715" s="112">
        <f>VLOOKUP(A715,[3]RESUMEN!$A:$AE,31,1)</f>
        <v>-0.33050202769037967</v>
      </c>
      <c r="M715" s="113">
        <f>VLOOKUP(A715,[3]RESUMEN!$A:$AH,34,1)</f>
        <v>1.3599380139649774E-2</v>
      </c>
      <c r="N715" s="113">
        <f>VLOOKUP(A715,[3]RESUMEN!$A:$AI,35,1)</f>
        <v>-0.15845132377536494</v>
      </c>
    </row>
    <row r="716" spans="1:14" x14ac:dyDescent="0.25">
      <c r="A716" s="102">
        <v>42643</v>
      </c>
      <c r="B716">
        <v>49.725000000000001</v>
      </c>
      <c r="C716">
        <v>73.867999999999995</v>
      </c>
      <c r="D716">
        <v>102.944</v>
      </c>
      <c r="E716">
        <v>170.02500000000001</v>
      </c>
      <c r="F716">
        <v>0.28999999999999998</v>
      </c>
      <c r="G716">
        <v>0.55959999999999999</v>
      </c>
      <c r="H716">
        <v>0.63349999999999995</v>
      </c>
      <c r="I716">
        <v>0.68799999999999994</v>
      </c>
      <c r="J716">
        <v>0.79500000000000004</v>
      </c>
      <c r="K716">
        <v>0.10832445532733415</v>
      </c>
      <c r="L716" s="112">
        <f>VLOOKUP(A716,[3]RESUMEN!$A:$AE,31,1)</f>
        <v>-0.43573992065970485</v>
      </c>
      <c r="M716" s="113">
        <f>VLOOKUP(A716,[3]RESUMEN!$A:$AH,34,1)</f>
        <v>0.24382743734606943</v>
      </c>
      <c r="N716" s="113">
        <f>VLOOKUP(A716,[3]RESUMEN!$A:$AI,35,1)</f>
        <v>-9.5956241656817709E-2</v>
      </c>
    </row>
    <row r="717" spans="1:14" x14ac:dyDescent="0.25">
      <c r="A717" s="102">
        <v>42650</v>
      </c>
      <c r="B717">
        <v>57.320999999999998</v>
      </c>
      <c r="C717">
        <v>81.116</v>
      </c>
      <c r="D717">
        <v>110.083</v>
      </c>
      <c r="E717">
        <v>178.08799999999999</v>
      </c>
      <c r="F717">
        <v>0.4</v>
      </c>
      <c r="G717">
        <v>0.59860000000000002</v>
      </c>
      <c r="H717">
        <v>0.69399999999999995</v>
      </c>
      <c r="I717">
        <v>0.76500000000000001</v>
      </c>
      <c r="J717">
        <v>0.89900000000000002</v>
      </c>
      <c r="K717">
        <v>0.11315232171687428</v>
      </c>
      <c r="L717" s="112">
        <f>VLOOKUP(A717,[3]RESUMEN!$A:$AE,31,1)</f>
        <v>-0.43573992065970485</v>
      </c>
      <c r="M717" s="113">
        <f>VLOOKUP(A717,[3]RESUMEN!$A:$AH,34,1)</f>
        <v>0.24382743734606943</v>
      </c>
      <c r="N717" s="113">
        <f>VLOOKUP(A717,[3]RESUMEN!$A:$AI,35,1)</f>
        <v>-9.5956241656817709E-2</v>
      </c>
    </row>
    <row r="718" spans="1:14" x14ac:dyDescent="0.25">
      <c r="A718" s="102">
        <v>42657</v>
      </c>
      <c r="B718">
        <v>55.188000000000002</v>
      </c>
      <c r="C718">
        <v>81.253</v>
      </c>
      <c r="D718">
        <v>110.25700000000001</v>
      </c>
      <c r="E718">
        <v>178.505</v>
      </c>
      <c r="F718">
        <v>0.41</v>
      </c>
      <c r="G718">
        <v>0.60850000000000004</v>
      </c>
      <c r="H718">
        <v>0.70699999999999996</v>
      </c>
      <c r="I718">
        <v>0.78800000000000003</v>
      </c>
      <c r="J718">
        <v>0.93600000000000005</v>
      </c>
      <c r="K718">
        <v>0.11315232171687428</v>
      </c>
      <c r="L718" s="112">
        <f>VLOOKUP(A718,[3]RESUMEN!$A:$AE,31,1)</f>
        <v>-0.43573992065970485</v>
      </c>
      <c r="M718" s="113">
        <f>VLOOKUP(A718,[3]RESUMEN!$A:$AH,34,1)</f>
        <v>0.24382743734606943</v>
      </c>
      <c r="N718" s="113">
        <f>VLOOKUP(A718,[3]RESUMEN!$A:$AI,35,1)</f>
        <v>-9.5956241656817709E-2</v>
      </c>
    </row>
    <row r="719" spans="1:14" x14ac:dyDescent="0.25">
      <c r="A719" s="102">
        <v>42664</v>
      </c>
      <c r="B719">
        <v>48.843000000000004</v>
      </c>
      <c r="C719">
        <v>72.052000000000007</v>
      </c>
      <c r="D719">
        <v>99.891999999999996</v>
      </c>
      <c r="E719">
        <v>166.12100000000001</v>
      </c>
      <c r="F719">
        <v>0.41</v>
      </c>
      <c r="G719">
        <v>0.60470000000000002</v>
      </c>
      <c r="H719">
        <v>0.69199999999999995</v>
      </c>
      <c r="I719">
        <v>0.76200000000000001</v>
      </c>
      <c r="J719">
        <v>0.89900000000000002</v>
      </c>
      <c r="K719">
        <v>0.10595545534325224</v>
      </c>
      <c r="L719" s="112">
        <f>VLOOKUP(A719,[3]RESUMEN!$A:$AE,31,1)</f>
        <v>-0.43573992065970485</v>
      </c>
      <c r="M719" s="113">
        <f>VLOOKUP(A719,[3]RESUMEN!$A:$AH,34,1)</f>
        <v>0.24382743734606943</v>
      </c>
      <c r="N719" s="113">
        <f>VLOOKUP(A719,[3]RESUMEN!$A:$AI,35,1)</f>
        <v>-9.5956241656817709E-2</v>
      </c>
    </row>
    <row r="720" spans="1:14" x14ac:dyDescent="0.25">
      <c r="A720" s="102">
        <v>42671</v>
      </c>
      <c r="B720">
        <v>51.131</v>
      </c>
      <c r="C720">
        <v>76.918000000000006</v>
      </c>
      <c r="D720">
        <v>106.38500000000001</v>
      </c>
      <c r="E720">
        <v>174.09200000000001</v>
      </c>
      <c r="F720">
        <v>0.41</v>
      </c>
      <c r="G720">
        <v>0.624</v>
      </c>
      <c r="H720">
        <v>0.72199999999999998</v>
      </c>
      <c r="I720">
        <v>0.81</v>
      </c>
      <c r="J720">
        <v>0.98</v>
      </c>
      <c r="K720">
        <v>0.11077390017446276</v>
      </c>
      <c r="L720" s="112">
        <f>VLOOKUP(A720,[3]RESUMEN!$A:$AE,31,1)</f>
        <v>-0.43573992065970485</v>
      </c>
      <c r="M720" s="113">
        <f>VLOOKUP(A720,[3]RESUMEN!$A:$AH,34,1)</f>
        <v>0.24382743734606943</v>
      </c>
      <c r="N720" s="113">
        <f>VLOOKUP(A720,[3]RESUMEN!$A:$AI,35,1)</f>
        <v>-9.5956241656817709E-2</v>
      </c>
    </row>
    <row r="721" spans="1:14" x14ac:dyDescent="0.25">
      <c r="A721" s="102">
        <v>42678</v>
      </c>
      <c r="B721">
        <v>62.646999999999998</v>
      </c>
      <c r="C721">
        <v>90.012</v>
      </c>
      <c r="D721">
        <v>118.578</v>
      </c>
      <c r="E721">
        <v>187.541</v>
      </c>
      <c r="F721">
        <v>0.41</v>
      </c>
      <c r="G721">
        <v>0.59470000000000001</v>
      </c>
      <c r="H721">
        <v>0.67469999999999997</v>
      </c>
      <c r="I721">
        <v>0.749</v>
      </c>
      <c r="J721">
        <v>0.90500000000000003</v>
      </c>
      <c r="K721">
        <v>0.11877746690238167</v>
      </c>
      <c r="L721" s="112">
        <f>VLOOKUP(A721,[3]RESUMEN!$A:$AE,31,1)</f>
        <v>-0.43573992065970485</v>
      </c>
      <c r="M721" s="113">
        <f>VLOOKUP(A721,[3]RESUMEN!$A:$AH,34,1)</f>
        <v>0.24382743734606943</v>
      </c>
      <c r="N721" s="113">
        <f>VLOOKUP(A721,[3]RESUMEN!$A:$AI,35,1)</f>
        <v>-9.5956241656817709E-2</v>
      </c>
    </row>
    <row r="722" spans="1:14" x14ac:dyDescent="0.25">
      <c r="A722" s="102">
        <v>42685</v>
      </c>
      <c r="B722">
        <v>62.996000000000002</v>
      </c>
      <c r="C722">
        <v>98.625</v>
      </c>
      <c r="D722">
        <v>130.81899999999999</v>
      </c>
      <c r="E722">
        <v>195.70699999999999</v>
      </c>
      <c r="F722">
        <v>0.41</v>
      </c>
      <c r="G722">
        <v>0.65600000000000003</v>
      </c>
      <c r="H722">
        <v>0.81100000000000005</v>
      </c>
      <c r="I722">
        <v>0.97599999999999998</v>
      </c>
      <c r="J722">
        <v>1.2469999999999999</v>
      </c>
      <c r="K722">
        <v>0.12356726003121465</v>
      </c>
      <c r="L722" s="112">
        <f>VLOOKUP(A722,[3]RESUMEN!$A:$AE,31,1)</f>
        <v>-0.43573992065970485</v>
      </c>
      <c r="M722" s="113">
        <f>VLOOKUP(A722,[3]RESUMEN!$A:$AH,34,1)</f>
        <v>0.24382743734606943</v>
      </c>
      <c r="N722" s="113">
        <f>VLOOKUP(A722,[3]RESUMEN!$A:$AI,35,1)</f>
        <v>-9.5956241656817709E-2</v>
      </c>
    </row>
    <row r="723" spans="1:14" x14ac:dyDescent="0.25">
      <c r="A723" s="102">
        <v>42692</v>
      </c>
      <c r="B723">
        <v>69.680999999999997</v>
      </c>
      <c r="C723">
        <v>100.28700000000001</v>
      </c>
      <c r="D723">
        <v>133.423</v>
      </c>
      <c r="E723">
        <v>205.65700000000001</v>
      </c>
      <c r="F723">
        <v>0.41</v>
      </c>
      <c r="G723">
        <v>0.72750000000000004</v>
      </c>
      <c r="H723">
        <v>0.94499999999999995</v>
      </c>
      <c r="I723">
        <v>1.1459999999999999</v>
      </c>
      <c r="J723">
        <v>1.458</v>
      </c>
      <c r="K723">
        <v>0.12953751454669327</v>
      </c>
      <c r="L723" s="112">
        <f>VLOOKUP(A723,[3]RESUMEN!$A:$AE,31,1)</f>
        <v>-0.43573992065970485</v>
      </c>
      <c r="M723" s="113">
        <f>VLOOKUP(A723,[3]RESUMEN!$A:$AH,34,1)</f>
        <v>0.24382743734606943</v>
      </c>
      <c r="N723" s="113">
        <f>VLOOKUP(A723,[3]RESUMEN!$A:$AI,35,1)</f>
        <v>-9.5956241656817709E-2</v>
      </c>
    </row>
    <row r="724" spans="1:14" x14ac:dyDescent="0.25">
      <c r="A724" s="102">
        <v>42699</v>
      </c>
      <c r="B724">
        <v>67.283000000000001</v>
      </c>
      <c r="C724">
        <v>97.290999999999997</v>
      </c>
      <c r="D724">
        <v>130.03100000000001</v>
      </c>
      <c r="E724">
        <v>200.48099999999999</v>
      </c>
      <c r="F724">
        <v>0.41</v>
      </c>
      <c r="G724">
        <v>0.76800000000000002</v>
      </c>
      <c r="H724">
        <v>0.98519999999999996</v>
      </c>
      <c r="I724">
        <v>1.1839999999999999</v>
      </c>
      <c r="J724">
        <v>1.472</v>
      </c>
      <c r="K724">
        <v>0.12646953403269245</v>
      </c>
      <c r="L724" s="112">
        <f>VLOOKUP(A724,[3]RESUMEN!$A:$AE,31,1)</f>
        <v>-0.43573992065970485</v>
      </c>
      <c r="M724" s="113">
        <f>VLOOKUP(A724,[3]RESUMEN!$A:$AH,34,1)</f>
        <v>0.24382743734606943</v>
      </c>
      <c r="N724" s="113">
        <f>VLOOKUP(A724,[3]RESUMEN!$A:$AI,35,1)</f>
        <v>-9.5956241656817709E-2</v>
      </c>
    </row>
    <row r="725" spans="1:14" x14ac:dyDescent="0.25">
      <c r="A725" s="102">
        <v>42706</v>
      </c>
      <c r="B725">
        <v>62.179000000000002</v>
      </c>
      <c r="C725">
        <v>91.561999999999998</v>
      </c>
      <c r="D725">
        <v>123.93</v>
      </c>
      <c r="E725">
        <v>193.292</v>
      </c>
      <c r="F725">
        <v>0.41</v>
      </c>
      <c r="G725">
        <v>0.75639999999999996</v>
      </c>
      <c r="H725">
        <v>0.96250000000000002</v>
      </c>
      <c r="I725">
        <v>1.163</v>
      </c>
      <c r="J725">
        <v>1.4650000000000001</v>
      </c>
      <c r="K725">
        <v>0.12221866547923055</v>
      </c>
      <c r="L725" s="112">
        <f>VLOOKUP(A725,[3]RESUMEN!$A:$AE,31,1)</f>
        <v>-0.43573992065970485</v>
      </c>
      <c r="M725" s="113">
        <f>VLOOKUP(A725,[3]RESUMEN!$A:$AH,34,1)</f>
        <v>0.24382743734606943</v>
      </c>
      <c r="N725" s="113">
        <f>VLOOKUP(A725,[3]RESUMEN!$A:$AI,35,1)</f>
        <v>-9.5956241656817709E-2</v>
      </c>
    </row>
    <row r="726" spans="1:14" x14ac:dyDescent="0.25">
      <c r="A726" s="102">
        <v>42713</v>
      </c>
      <c r="B726">
        <v>44.945999999999998</v>
      </c>
      <c r="C726">
        <v>73.445999999999998</v>
      </c>
      <c r="D726">
        <v>104.91500000000001</v>
      </c>
      <c r="E726">
        <v>170.60900000000001</v>
      </c>
      <c r="F726">
        <v>0.41</v>
      </c>
      <c r="G726">
        <v>0.79600000000000004</v>
      </c>
      <c r="H726">
        <v>1.0253000000000001</v>
      </c>
      <c r="I726">
        <v>1.234</v>
      </c>
      <c r="J726">
        <v>1.554</v>
      </c>
      <c r="K726">
        <v>0.1086806271582591</v>
      </c>
      <c r="L726" s="112">
        <f>VLOOKUP(A726,[3]RESUMEN!$A:$AE,31,1)</f>
        <v>-0.43573992065970485</v>
      </c>
      <c r="M726" s="113">
        <f>VLOOKUP(A726,[3]RESUMEN!$A:$AH,34,1)</f>
        <v>0.24382743734606943</v>
      </c>
      <c r="N726" s="113">
        <f>VLOOKUP(A726,[3]RESUMEN!$A:$AI,35,1)</f>
        <v>-9.5956241656817709E-2</v>
      </c>
    </row>
    <row r="727" spans="1:14" x14ac:dyDescent="0.25">
      <c r="A727" s="102">
        <v>42720</v>
      </c>
      <c r="B727">
        <v>37.997</v>
      </c>
      <c r="C727">
        <v>67.213999999999999</v>
      </c>
      <c r="D727">
        <v>98.21</v>
      </c>
      <c r="E727">
        <v>163.57400000000001</v>
      </c>
      <c r="F727">
        <v>0.66</v>
      </c>
      <c r="G727">
        <v>0.85299999999999998</v>
      </c>
      <c r="H727">
        <v>1.151</v>
      </c>
      <c r="I727">
        <v>1.405</v>
      </c>
      <c r="J727">
        <v>1.726</v>
      </c>
      <c r="K727">
        <v>0.10445417416555358</v>
      </c>
      <c r="L727" s="112">
        <f>VLOOKUP(A727,[3]RESUMEN!$A:$AE,31,1)</f>
        <v>-0.43573992065970485</v>
      </c>
      <c r="M727" s="113">
        <f>VLOOKUP(A727,[3]RESUMEN!$A:$AH,34,1)</f>
        <v>0.24382743734606943</v>
      </c>
      <c r="N727" s="113">
        <f>VLOOKUP(A727,[3]RESUMEN!$A:$AI,35,1)</f>
        <v>-9.5956241656817709E-2</v>
      </c>
    </row>
    <row r="728" spans="1:14" x14ac:dyDescent="0.25">
      <c r="A728" s="102">
        <v>42727</v>
      </c>
      <c r="B728">
        <v>46.826999999999998</v>
      </c>
      <c r="C728">
        <v>70.340999999999994</v>
      </c>
      <c r="D728">
        <v>98.488</v>
      </c>
      <c r="E728">
        <v>165.08799999999999</v>
      </c>
      <c r="F728">
        <v>0.66</v>
      </c>
      <c r="G728">
        <v>0.85680000000000001</v>
      </c>
      <c r="H728">
        <v>1.1459999999999999</v>
      </c>
      <c r="I728">
        <v>1.383</v>
      </c>
      <c r="J728">
        <v>1.6930000000000001</v>
      </c>
      <c r="K728">
        <v>0.10544161242420236</v>
      </c>
      <c r="L728" s="112">
        <f>VLOOKUP(A728,[3]RESUMEN!$A:$AE,31,1)</f>
        <v>-0.43573992065970485</v>
      </c>
      <c r="M728" s="113">
        <f>VLOOKUP(A728,[3]RESUMEN!$A:$AH,34,1)</f>
        <v>0.24382743734606943</v>
      </c>
      <c r="N728" s="113">
        <f>VLOOKUP(A728,[3]RESUMEN!$A:$AI,35,1)</f>
        <v>-9.5956241656817709E-2</v>
      </c>
    </row>
    <row r="729" spans="1:14" x14ac:dyDescent="0.25">
      <c r="A729" s="102">
        <v>42734</v>
      </c>
      <c r="B729">
        <v>49.247</v>
      </c>
      <c r="C729">
        <v>71.942999999999998</v>
      </c>
      <c r="D729">
        <v>99.066999999999993</v>
      </c>
      <c r="E729">
        <v>164.22300000000001</v>
      </c>
      <c r="F729">
        <v>0.55000000000000004</v>
      </c>
      <c r="G729">
        <v>0.85419999999999996</v>
      </c>
      <c r="H729">
        <v>1.1280000000000001</v>
      </c>
      <c r="I729">
        <v>1.349</v>
      </c>
      <c r="J729">
        <v>1.617</v>
      </c>
      <c r="K729">
        <v>0.10444429428066482</v>
      </c>
      <c r="L729" s="112">
        <f>VLOOKUP(A729,[3]RESUMEN!$A:$AE,31,1)</f>
        <v>-0.43573992065970485</v>
      </c>
      <c r="M729" s="113">
        <f>VLOOKUP(A729,[3]RESUMEN!$A:$AH,34,1)</f>
        <v>0.24382743734606943</v>
      </c>
      <c r="N729" s="113">
        <f>VLOOKUP(A729,[3]RESUMEN!$A:$AI,35,1)</f>
        <v>-9.5956241656817709E-2</v>
      </c>
    </row>
    <row r="730" spans="1:14" x14ac:dyDescent="0.25">
      <c r="A730" s="102">
        <v>42741</v>
      </c>
      <c r="B730">
        <v>46.113</v>
      </c>
      <c r="C730">
        <v>64.787999999999997</v>
      </c>
      <c r="D730">
        <v>90.837999999999994</v>
      </c>
      <c r="E730">
        <v>155.01499999999999</v>
      </c>
      <c r="F730">
        <v>0.66</v>
      </c>
      <c r="G730">
        <v>0.87250000000000005</v>
      </c>
      <c r="H730">
        <v>1.141</v>
      </c>
      <c r="I730">
        <v>1.349</v>
      </c>
      <c r="J730">
        <v>1.6040000000000001</v>
      </c>
      <c r="K730">
        <v>9.9219144237641665E-2</v>
      </c>
      <c r="L730" s="112">
        <f>VLOOKUP(A730,[3]RESUMEN!$A:$AE,31,1)</f>
        <v>-0.37169266150775881</v>
      </c>
      <c r="M730" s="113">
        <f>VLOOKUP(A730,[3]RESUMEN!$A:$AH,34,1)</f>
        <v>-3.4573890577911937E-3</v>
      </c>
      <c r="N730" s="113">
        <f>VLOOKUP(A730,[3]RESUMEN!$A:$AI,35,1)</f>
        <v>-0.187575025282775</v>
      </c>
    </row>
    <row r="731" spans="1:14" x14ac:dyDescent="0.25">
      <c r="A731" s="102">
        <v>42748</v>
      </c>
      <c r="B731">
        <v>43.735999999999997</v>
      </c>
      <c r="C731">
        <v>62.018000000000001</v>
      </c>
      <c r="D731">
        <v>86.744</v>
      </c>
      <c r="E731">
        <v>151.238</v>
      </c>
      <c r="F731">
        <v>0.66</v>
      </c>
      <c r="G731">
        <v>0.873</v>
      </c>
      <c r="H731">
        <v>1.131</v>
      </c>
      <c r="I731">
        <v>1.331</v>
      </c>
      <c r="J731">
        <v>1.575</v>
      </c>
      <c r="K731">
        <v>9.6932615953632895E-2</v>
      </c>
      <c r="L731" s="112">
        <f>VLOOKUP(A731,[3]RESUMEN!$A:$AE,31,1)</f>
        <v>-0.37169266150775881</v>
      </c>
      <c r="M731" s="113">
        <f>VLOOKUP(A731,[3]RESUMEN!$A:$AH,34,1)</f>
        <v>-3.4573890577911937E-3</v>
      </c>
      <c r="N731" s="113">
        <f>VLOOKUP(A731,[3]RESUMEN!$A:$AI,35,1)</f>
        <v>-0.187575025282775</v>
      </c>
    </row>
    <row r="732" spans="1:14" x14ac:dyDescent="0.25">
      <c r="A732" s="102">
        <v>42755</v>
      </c>
      <c r="B732">
        <v>44.618000000000002</v>
      </c>
      <c r="C732">
        <v>63.341000000000001</v>
      </c>
      <c r="D732">
        <v>88.152000000000001</v>
      </c>
      <c r="E732">
        <v>152.61600000000001</v>
      </c>
      <c r="F732">
        <v>0.66</v>
      </c>
      <c r="G732">
        <v>0.88849999999999996</v>
      </c>
      <c r="H732">
        <v>1.1400000000000001</v>
      </c>
      <c r="I732">
        <v>1.341</v>
      </c>
      <c r="J732">
        <v>1.617</v>
      </c>
      <c r="K732">
        <v>9.7852897123312688E-2</v>
      </c>
      <c r="L732" s="112">
        <f>VLOOKUP(A732,[3]RESUMEN!$A:$AE,31,1)</f>
        <v>-0.37169266150775881</v>
      </c>
      <c r="M732" s="113">
        <f>VLOOKUP(A732,[3]RESUMEN!$A:$AH,34,1)</f>
        <v>-3.4573890577911937E-3</v>
      </c>
      <c r="N732" s="113">
        <f>VLOOKUP(A732,[3]RESUMEN!$A:$AI,35,1)</f>
        <v>-0.187575025282775</v>
      </c>
    </row>
    <row r="733" spans="1:14" x14ac:dyDescent="0.25">
      <c r="A733" s="102">
        <v>42762</v>
      </c>
      <c r="B733">
        <v>43.094999999999999</v>
      </c>
      <c r="C733">
        <v>62.853999999999999</v>
      </c>
      <c r="D733">
        <v>87.638000000000005</v>
      </c>
      <c r="E733">
        <v>151.31100000000001</v>
      </c>
      <c r="F733">
        <v>0.66</v>
      </c>
      <c r="G733">
        <v>0.90300000000000002</v>
      </c>
      <c r="H733">
        <v>1.153</v>
      </c>
      <c r="I733">
        <v>1.357</v>
      </c>
      <c r="J733">
        <v>1.6379999999999999</v>
      </c>
      <c r="K733">
        <v>9.6923408402693423E-2</v>
      </c>
      <c r="L733" s="112">
        <f>VLOOKUP(A733,[3]RESUMEN!$A:$AE,31,1)</f>
        <v>-0.37169266150775881</v>
      </c>
      <c r="M733" s="113">
        <f>VLOOKUP(A733,[3]RESUMEN!$A:$AH,34,1)</f>
        <v>-3.4573890577911937E-3</v>
      </c>
      <c r="N733" s="113">
        <f>VLOOKUP(A733,[3]RESUMEN!$A:$AI,35,1)</f>
        <v>-0.187575025282775</v>
      </c>
    </row>
    <row r="734" spans="1:14" x14ac:dyDescent="0.25">
      <c r="A734" s="102">
        <v>42769</v>
      </c>
      <c r="B734">
        <v>43.917999999999999</v>
      </c>
      <c r="C734">
        <v>58.143999999999998</v>
      </c>
      <c r="D734">
        <v>83.126999999999995</v>
      </c>
      <c r="E734">
        <v>144.72800000000001</v>
      </c>
      <c r="F734">
        <v>0.66</v>
      </c>
      <c r="G734">
        <v>0.90049999999999997</v>
      </c>
      <c r="H734">
        <v>1.1524000000000001</v>
      </c>
      <c r="I734">
        <v>1.347</v>
      </c>
      <c r="J734">
        <v>1.62</v>
      </c>
      <c r="K734">
        <v>9.292829212202558E-2</v>
      </c>
      <c r="L734" s="112">
        <f>VLOOKUP(A734,[3]RESUMEN!$A:$AE,31,1)</f>
        <v>-0.37169266150775881</v>
      </c>
      <c r="M734" s="113">
        <f>VLOOKUP(A734,[3]RESUMEN!$A:$AH,34,1)</f>
        <v>-3.4573890577911937E-3</v>
      </c>
      <c r="N734" s="113">
        <f>VLOOKUP(A734,[3]RESUMEN!$A:$AI,35,1)</f>
        <v>-0.187575025282775</v>
      </c>
    </row>
    <row r="735" spans="1:14" x14ac:dyDescent="0.25">
      <c r="A735" s="102">
        <v>42776</v>
      </c>
      <c r="B735">
        <v>41.988</v>
      </c>
      <c r="C735">
        <v>56.716999999999999</v>
      </c>
      <c r="D735">
        <v>81.037000000000006</v>
      </c>
      <c r="E735">
        <v>143.578</v>
      </c>
      <c r="F735">
        <v>0.66</v>
      </c>
      <c r="G735">
        <v>0.90600000000000003</v>
      </c>
      <c r="H735">
        <v>1.147</v>
      </c>
      <c r="I735">
        <v>1.337</v>
      </c>
      <c r="J735">
        <v>1.597</v>
      </c>
      <c r="K735">
        <v>9.2043159293691668E-2</v>
      </c>
      <c r="L735" s="112">
        <f>VLOOKUP(A735,[3]RESUMEN!$A:$AE,31,1)</f>
        <v>-0.37169266150775881</v>
      </c>
      <c r="M735" s="113">
        <f>VLOOKUP(A735,[3]RESUMEN!$A:$AH,34,1)</f>
        <v>-3.4573890577911937E-3</v>
      </c>
      <c r="N735" s="113">
        <f>VLOOKUP(A735,[3]RESUMEN!$A:$AI,35,1)</f>
        <v>-0.187575025282775</v>
      </c>
    </row>
    <row r="736" spans="1:14" x14ac:dyDescent="0.25">
      <c r="A736" s="102">
        <v>42783</v>
      </c>
      <c r="B736">
        <v>42.823999999999998</v>
      </c>
      <c r="C736">
        <v>59.017000000000003</v>
      </c>
      <c r="D736">
        <v>82.728999999999999</v>
      </c>
      <c r="E736">
        <v>145.38900000000001</v>
      </c>
      <c r="F736">
        <v>0.66</v>
      </c>
      <c r="G736">
        <v>0.94199999999999995</v>
      </c>
      <c r="H736">
        <v>1.1879</v>
      </c>
      <c r="I736">
        <v>1.377</v>
      </c>
      <c r="J736">
        <v>1.639</v>
      </c>
      <c r="K736">
        <v>9.2919445066413475E-2</v>
      </c>
      <c r="L736" s="112">
        <f>VLOOKUP(A736,[3]RESUMEN!$A:$AE,31,1)</f>
        <v>-0.37169266150775881</v>
      </c>
      <c r="M736" s="113">
        <f>VLOOKUP(A736,[3]RESUMEN!$A:$AH,34,1)</f>
        <v>-3.4573890577911937E-3</v>
      </c>
      <c r="N736" s="113">
        <f>VLOOKUP(A736,[3]RESUMEN!$A:$AI,35,1)</f>
        <v>-0.187575025282775</v>
      </c>
    </row>
    <row r="737" spans="1:14" x14ac:dyDescent="0.25">
      <c r="A737" s="102">
        <v>42790</v>
      </c>
      <c r="B737">
        <v>40.97</v>
      </c>
      <c r="C737">
        <v>52.972000000000001</v>
      </c>
      <c r="D737">
        <v>77.165999999999997</v>
      </c>
      <c r="E737">
        <v>137.61000000000001</v>
      </c>
      <c r="F737">
        <v>0.66</v>
      </c>
      <c r="G737">
        <v>0.95</v>
      </c>
      <c r="H737">
        <v>1.1639999999999999</v>
      </c>
      <c r="I737">
        <v>1.3340000000000001</v>
      </c>
      <c r="J737">
        <v>1.5550000000000002</v>
      </c>
      <c r="K737">
        <v>8.8559100106411881E-2</v>
      </c>
      <c r="L737" s="112">
        <f>VLOOKUP(A737,[3]RESUMEN!$A:$AE,31,1)</f>
        <v>-0.37169266150775881</v>
      </c>
      <c r="M737" s="113">
        <f>VLOOKUP(A737,[3]RESUMEN!$A:$AH,34,1)</f>
        <v>-3.4573890577911937E-3</v>
      </c>
      <c r="N737" s="113">
        <f>VLOOKUP(A737,[3]RESUMEN!$A:$AI,35,1)</f>
        <v>-0.187575025282775</v>
      </c>
    </row>
    <row r="738" spans="1:14" x14ac:dyDescent="0.25">
      <c r="A738" s="102">
        <v>42797</v>
      </c>
      <c r="B738">
        <v>36.076999999999998</v>
      </c>
      <c r="C738">
        <v>50.128999999999998</v>
      </c>
      <c r="D738">
        <v>73.236999999999995</v>
      </c>
      <c r="E738">
        <v>132.65199999999999</v>
      </c>
      <c r="F738">
        <v>0.66</v>
      </c>
      <c r="G738">
        <v>1.0740000000000001</v>
      </c>
      <c r="H738">
        <v>1.333</v>
      </c>
      <c r="I738">
        <v>1.5270000000000001</v>
      </c>
      <c r="J738">
        <v>1.768</v>
      </c>
      <c r="K738">
        <v>8.5505892164891462E-2</v>
      </c>
      <c r="L738" s="112">
        <f>VLOOKUP(A738,[3]RESUMEN!$A:$AE,31,1)</f>
        <v>-0.37169266150775881</v>
      </c>
      <c r="M738" s="113">
        <f>VLOOKUP(A738,[3]RESUMEN!$A:$AH,34,1)</f>
        <v>-3.4573890577911937E-3</v>
      </c>
      <c r="N738" s="113">
        <f>VLOOKUP(A738,[3]RESUMEN!$A:$AI,35,1)</f>
        <v>-0.187575025282775</v>
      </c>
    </row>
    <row r="739" spans="1:14" x14ac:dyDescent="0.25">
      <c r="A739" s="102">
        <v>42804</v>
      </c>
      <c r="B739">
        <v>39.542999999999999</v>
      </c>
      <c r="C739">
        <v>53.875</v>
      </c>
      <c r="D739">
        <v>76.414000000000001</v>
      </c>
      <c r="E739">
        <v>137.566</v>
      </c>
      <c r="F739">
        <v>0.66</v>
      </c>
      <c r="G739">
        <v>1.117</v>
      </c>
      <c r="H739">
        <v>1.383</v>
      </c>
      <c r="I739">
        <v>1.591</v>
      </c>
      <c r="J739">
        <v>1.849</v>
      </c>
      <c r="K739">
        <v>8.853852288108166E-2</v>
      </c>
      <c r="L739" s="112">
        <f>VLOOKUP(A739,[3]RESUMEN!$A:$AE,31,1)</f>
        <v>-0.37169266150775881</v>
      </c>
      <c r="M739" s="113">
        <f>VLOOKUP(A739,[3]RESUMEN!$A:$AH,34,1)</f>
        <v>-3.4573890577911937E-3</v>
      </c>
      <c r="N739" s="113">
        <f>VLOOKUP(A739,[3]RESUMEN!$A:$AI,35,1)</f>
        <v>-0.187575025282775</v>
      </c>
    </row>
    <row r="740" spans="1:14" x14ac:dyDescent="0.25">
      <c r="A740" s="102">
        <v>42811</v>
      </c>
      <c r="B740">
        <v>32.197000000000003</v>
      </c>
      <c r="C740">
        <v>46.298999999999999</v>
      </c>
      <c r="D740">
        <v>70.302000000000007</v>
      </c>
      <c r="E740">
        <v>128.923</v>
      </c>
      <c r="F740">
        <v>0.91</v>
      </c>
      <c r="G740">
        <v>1.125</v>
      </c>
      <c r="H740">
        <v>1.3639999999999999</v>
      </c>
      <c r="I740">
        <v>1.548</v>
      </c>
      <c r="J740">
        <v>1.7949999999999999</v>
      </c>
      <c r="K740">
        <v>8.3208216810605529E-2</v>
      </c>
      <c r="L740" s="112">
        <f>VLOOKUP(A740,[3]RESUMEN!$A:$AE,31,1)</f>
        <v>-0.37169266150775881</v>
      </c>
      <c r="M740" s="113">
        <f>VLOOKUP(A740,[3]RESUMEN!$A:$AH,34,1)</f>
        <v>-3.4573890577911937E-3</v>
      </c>
      <c r="N740" s="113">
        <f>VLOOKUP(A740,[3]RESUMEN!$A:$AI,35,1)</f>
        <v>-0.187575025282775</v>
      </c>
    </row>
    <row r="741" spans="1:14" x14ac:dyDescent="0.25">
      <c r="A741" s="102">
        <v>42818</v>
      </c>
      <c r="B741">
        <v>35.694000000000003</v>
      </c>
      <c r="C741">
        <v>49.862000000000002</v>
      </c>
      <c r="D741">
        <v>75.652000000000001</v>
      </c>
      <c r="E741">
        <v>138.02000000000001</v>
      </c>
      <c r="F741">
        <v>0.91</v>
      </c>
      <c r="G741">
        <v>1.1214999999999999</v>
      </c>
      <c r="H741">
        <v>1.3465</v>
      </c>
      <c r="I741">
        <v>1.528</v>
      </c>
      <c r="J741">
        <v>1.764</v>
      </c>
      <c r="K741">
        <v>8.8850601956409592E-2</v>
      </c>
      <c r="L741" s="112">
        <f>VLOOKUP(A741,[3]RESUMEN!$A:$AE,31,1)</f>
        <v>-0.37169266150775881</v>
      </c>
      <c r="M741" s="113">
        <f>VLOOKUP(A741,[3]RESUMEN!$A:$AH,34,1)</f>
        <v>-3.4573890577911937E-3</v>
      </c>
      <c r="N741" s="113">
        <f>VLOOKUP(A741,[3]RESUMEN!$A:$AI,35,1)</f>
        <v>-0.187575025282775</v>
      </c>
    </row>
    <row r="742" spans="1:14" x14ac:dyDescent="0.25">
      <c r="A742" s="102">
        <v>42825</v>
      </c>
      <c r="B742">
        <v>36.417000000000002</v>
      </c>
      <c r="C742">
        <v>50.985999999999997</v>
      </c>
      <c r="D742">
        <v>73.227999999999994</v>
      </c>
      <c r="E742">
        <v>133.99100000000001</v>
      </c>
      <c r="F742">
        <v>0.82</v>
      </c>
      <c r="G742">
        <v>1.139</v>
      </c>
      <c r="H742">
        <v>1.3554999999999999</v>
      </c>
      <c r="I742">
        <v>1.5270000000000001</v>
      </c>
      <c r="J742">
        <v>1.7509999999999999</v>
      </c>
      <c r="K742">
        <v>8.6347703120004504E-2</v>
      </c>
      <c r="L742" s="112">
        <f>VLOOKUP(A742,[3]RESUMEN!$A:$AE,31,1)</f>
        <v>-0.43416371804035719</v>
      </c>
      <c r="M742" s="113">
        <f>VLOOKUP(A742,[3]RESUMEN!$A:$AH,34,1)</f>
        <v>0.34547106629058388</v>
      </c>
      <c r="N742" s="113">
        <f>VLOOKUP(A742,[3]RESUMEN!$A:$AI,35,1)</f>
        <v>-4.4346325874886655E-2</v>
      </c>
    </row>
    <row r="743" spans="1:14" x14ac:dyDescent="0.25">
      <c r="A743" s="102">
        <v>42832</v>
      </c>
      <c r="B743">
        <v>34.869999999999997</v>
      </c>
      <c r="C743">
        <v>49.564999999999998</v>
      </c>
      <c r="D743">
        <v>71.930000000000007</v>
      </c>
      <c r="E743">
        <v>133.09700000000001</v>
      </c>
      <c r="F743">
        <v>0.91</v>
      </c>
      <c r="G743">
        <v>1.155</v>
      </c>
      <c r="H743">
        <v>1.3505</v>
      </c>
      <c r="I743">
        <v>1.508</v>
      </c>
      <c r="J743">
        <v>1.726</v>
      </c>
      <c r="K743">
        <v>8.6347703120004504E-2</v>
      </c>
      <c r="L743" s="112">
        <f>VLOOKUP(A743,[3]RESUMEN!$A:$AE,31,1)</f>
        <v>-0.43416371804035719</v>
      </c>
      <c r="M743" s="113">
        <f>VLOOKUP(A743,[3]RESUMEN!$A:$AH,34,1)</f>
        <v>0.34547106629058388</v>
      </c>
      <c r="N743" s="113">
        <f>VLOOKUP(A743,[3]RESUMEN!$A:$AI,35,1)</f>
        <v>-4.4346325874886655E-2</v>
      </c>
    </row>
    <row r="744" spans="1:14" x14ac:dyDescent="0.25">
      <c r="A744" s="102">
        <v>42839</v>
      </c>
      <c r="B744">
        <v>35.444000000000003</v>
      </c>
      <c r="C744">
        <v>50.767000000000003</v>
      </c>
      <c r="D744">
        <v>72.878</v>
      </c>
      <c r="E744">
        <v>134.255</v>
      </c>
      <c r="F744">
        <v>0.91</v>
      </c>
      <c r="G744">
        <v>1.119</v>
      </c>
      <c r="H744">
        <v>1.2669999999999999</v>
      </c>
      <c r="I744">
        <v>1.391</v>
      </c>
      <c r="J744">
        <v>1.5840000000000001</v>
      </c>
      <c r="K744">
        <v>8.6347703120004504E-2</v>
      </c>
      <c r="L744" s="112">
        <f>VLOOKUP(A744,[3]RESUMEN!$A:$AE,31,1)</f>
        <v>-0.43416371804035719</v>
      </c>
      <c r="M744" s="113">
        <f>VLOOKUP(A744,[3]RESUMEN!$A:$AH,34,1)</f>
        <v>0.34547106629058388</v>
      </c>
      <c r="N744" s="113">
        <f>VLOOKUP(A744,[3]RESUMEN!$A:$AI,35,1)</f>
        <v>-4.4346325874886655E-2</v>
      </c>
    </row>
    <row r="745" spans="1:14" x14ac:dyDescent="0.25">
      <c r="A745" s="102">
        <v>42846</v>
      </c>
      <c r="B745">
        <v>38.366999999999997</v>
      </c>
      <c r="C745">
        <v>51.872</v>
      </c>
      <c r="D745">
        <v>73.381</v>
      </c>
      <c r="E745">
        <v>134.41300000000001</v>
      </c>
      <c r="F745">
        <v>0.91</v>
      </c>
      <c r="G745">
        <v>1.1100000000000001</v>
      </c>
      <c r="H745">
        <v>1.2709999999999999</v>
      </c>
      <c r="I745">
        <v>1.401</v>
      </c>
      <c r="J745">
        <v>1.5960000000000001</v>
      </c>
      <c r="K745">
        <v>8.6347703120004504E-2</v>
      </c>
      <c r="L745" s="112">
        <f>VLOOKUP(A745,[3]RESUMEN!$A:$AE,31,1)</f>
        <v>-0.43416371804035719</v>
      </c>
      <c r="M745" s="113">
        <f>VLOOKUP(A745,[3]RESUMEN!$A:$AH,34,1)</f>
        <v>0.34547106629058388</v>
      </c>
      <c r="N745" s="113">
        <f>VLOOKUP(A745,[3]RESUMEN!$A:$AI,35,1)</f>
        <v>-4.4346325874886655E-2</v>
      </c>
    </row>
    <row r="746" spans="1:14" x14ac:dyDescent="0.25">
      <c r="A746" s="102">
        <v>42853</v>
      </c>
      <c r="B746">
        <v>28.439</v>
      </c>
      <c r="C746">
        <v>43.186999999999998</v>
      </c>
      <c r="D746">
        <v>66.539000000000001</v>
      </c>
      <c r="E746">
        <v>126.41800000000001</v>
      </c>
      <c r="F746">
        <v>0.83</v>
      </c>
      <c r="G746">
        <v>1.1759999999999999</v>
      </c>
      <c r="H746">
        <v>1.3380000000000001</v>
      </c>
      <c r="I746">
        <v>1.468</v>
      </c>
      <c r="J746">
        <v>1.65</v>
      </c>
      <c r="K746">
        <v>8.168214105264382E-2</v>
      </c>
      <c r="L746" s="112">
        <f>VLOOKUP(A746,[3]RESUMEN!$A:$AE,31,1)</f>
        <v>-0.43416371804035719</v>
      </c>
      <c r="M746" s="113">
        <f>VLOOKUP(A746,[3]RESUMEN!$A:$AH,34,1)</f>
        <v>0.34547106629058388</v>
      </c>
      <c r="N746" s="113">
        <f>VLOOKUP(A746,[3]RESUMEN!$A:$AI,35,1)</f>
        <v>-4.4346325874886655E-2</v>
      </c>
    </row>
    <row r="747" spans="1:14" x14ac:dyDescent="0.25">
      <c r="A747" s="102">
        <v>42860</v>
      </c>
      <c r="B747">
        <v>31.396999999999998</v>
      </c>
      <c r="C747">
        <v>44.790999999999997</v>
      </c>
      <c r="D747">
        <v>68.555999999999997</v>
      </c>
      <c r="E747">
        <v>129.119</v>
      </c>
      <c r="F747">
        <v>0.91</v>
      </c>
      <c r="G747">
        <v>1.2030000000000001</v>
      </c>
      <c r="H747">
        <v>1.3740000000000001</v>
      </c>
      <c r="I747">
        <v>1.508</v>
      </c>
      <c r="J747">
        <v>1.6989999999999998</v>
      </c>
      <c r="K747">
        <v>8.3357872274752443E-2</v>
      </c>
      <c r="L747" s="112">
        <f>VLOOKUP(A747,[3]RESUMEN!$A:$AE,31,1)</f>
        <v>-0.43416371804035719</v>
      </c>
      <c r="M747" s="113">
        <f>VLOOKUP(A747,[3]RESUMEN!$A:$AH,34,1)</f>
        <v>0.34547106629058388</v>
      </c>
      <c r="N747" s="113">
        <f>VLOOKUP(A747,[3]RESUMEN!$A:$AI,35,1)</f>
        <v>-4.4346325874886655E-2</v>
      </c>
    </row>
    <row r="748" spans="1:14" x14ac:dyDescent="0.25">
      <c r="A748" s="102">
        <v>42867</v>
      </c>
      <c r="B748">
        <v>31.87</v>
      </c>
      <c r="C748">
        <v>45.441000000000003</v>
      </c>
      <c r="D748">
        <v>69.352000000000004</v>
      </c>
      <c r="E748">
        <v>129.73599999999999</v>
      </c>
      <c r="F748">
        <v>0.91</v>
      </c>
      <c r="G748">
        <v>1.1875</v>
      </c>
      <c r="H748">
        <v>1.345</v>
      </c>
      <c r="I748">
        <v>1.4750000000000001</v>
      </c>
      <c r="J748">
        <v>1.671</v>
      </c>
      <c r="K748">
        <v>8.3357872274752443E-2</v>
      </c>
      <c r="L748" s="112">
        <f>VLOOKUP(A748,[3]RESUMEN!$A:$AE,31,1)</f>
        <v>-0.43416371804035719</v>
      </c>
      <c r="M748" s="113">
        <f>VLOOKUP(A748,[3]RESUMEN!$A:$AH,34,1)</f>
        <v>0.34547106629058388</v>
      </c>
      <c r="N748" s="113">
        <f>VLOOKUP(A748,[3]RESUMEN!$A:$AI,35,1)</f>
        <v>-4.4346325874886655E-2</v>
      </c>
    </row>
    <row r="749" spans="1:14" x14ac:dyDescent="0.25">
      <c r="A749" s="102">
        <v>42874</v>
      </c>
      <c r="B749">
        <v>30.59</v>
      </c>
      <c r="C749">
        <v>44.512</v>
      </c>
      <c r="D749">
        <v>66.738</v>
      </c>
      <c r="E749">
        <v>127.17700000000001</v>
      </c>
      <c r="F749">
        <v>0.91</v>
      </c>
      <c r="G749">
        <v>1.1834</v>
      </c>
      <c r="H749">
        <v>1.3189</v>
      </c>
      <c r="I749">
        <v>1.4339999999999999</v>
      </c>
      <c r="J749">
        <v>1.6059999999999999</v>
      </c>
      <c r="K749">
        <v>8.2559696642970914E-2</v>
      </c>
      <c r="L749" s="112">
        <f>VLOOKUP(A749,[3]RESUMEN!$A:$AE,31,1)</f>
        <v>-0.43416371804035719</v>
      </c>
      <c r="M749" s="113">
        <f>VLOOKUP(A749,[3]RESUMEN!$A:$AH,34,1)</f>
        <v>0.34547106629058388</v>
      </c>
      <c r="N749" s="113">
        <f>VLOOKUP(A749,[3]RESUMEN!$A:$AI,35,1)</f>
        <v>-4.4346325874886655E-2</v>
      </c>
    </row>
    <row r="750" spans="1:14" x14ac:dyDescent="0.25">
      <c r="A750" s="102">
        <v>42881</v>
      </c>
      <c r="B750">
        <v>28.48</v>
      </c>
      <c r="C750">
        <v>42.308999999999997</v>
      </c>
      <c r="D750">
        <v>65.114999999999995</v>
      </c>
      <c r="E750">
        <v>124.501</v>
      </c>
      <c r="F750">
        <v>0.91</v>
      </c>
      <c r="G750">
        <v>1.2118</v>
      </c>
      <c r="H750">
        <v>1.35</v>
      </c>
      <c r="I750">
        <v>1.4630000000000001</v>
      </c>
      <c r="J750">
        <v>1.6415</v>
      </c>
      <c r="K750">
        <v>8.0484677120115089E-2</v>
      </c>
      <c r="L750" s="112">
        <f>VLOOKUP(A750,[3]RESUMEN!$A:$AE,31,1)</f>
        <v>-0.43416371804035719</v>
      </c>
      <c r="M750" s="113">
        <f>VLOOKUP(A750,[3]RESUMEN!$A:$AH,34,1)</f>
        <v>0.34547106629058388</v>
      </c>
      <c r="N750" s="113">
        <f>VLOOKUP(A750,[3]RESUMEN!$A:$AI,35,1)</f>
        <v>-4.4346325874886655E-2</v>
      </c>
    </row>
    <row r="751" spans="1:14" x14ac:dyDescent="0.25">
      <c r="A751" s="102">
        <v>42888</v>
      </c>
      <c r="B751">
        <v>29.484000000000002</v>
      </c>
      <c r="C751">
        <v>43.41</v>
      </c>
      <c r="D751">
        <v>67.27</v>
      </c>
      <c r="E751">
        <v>126.74299999999999</v>
      </c>
      <c r="F751">
        <v>0.91</v>
      </c>
      <c r="G751">
        <v>1.2306999999999999</v>
      </c>
      <c r="H751">
        <v>1.3456000000000001</v>
      </c>
      <c r="I751">
        <v>1.4330000000000001</v>
      </c>
      <c r="J751">
        <v>1.571</v>
      </c>
      <c r="K751">
        <v>8.189042670366764E-2</v>
      </c>
      <c r="L751" s="112">
        <f>VLOOKUP(A751,[3]RESUMEN!$A:$AE,31,1)</f>
        <v>-0.43416371804035719</v>
      </c>
      <c r="M751" s="113">
        <f>VLOOKUP(A751,[3]RESUMEN!$A:$AH,34,1)</f>
        <v>0.34547106629058388</v>
      </c>
      <c r="N751" s="113">
        <f>VLOOKUP(A751,[3]RESUMEN!$A:$AI,35,1)</f>
        <v>-4.4346325874886655E-2</v>
      </c>
    </row>
    <row r="752" spans="1:14" x14ac:dyDescent="0.25">
      <c r="A752" s="102">
        <v>42895</v>
      </c>
      <c r="B752">
        <v>31.282</v>
      </c>
      <c r="C752">
        <v>44.746000000000002</v>
      </c>
      <c r="D752">
        <v>67.738</v>
      </c>
      <c r="E752">
        <v>126.887</v>
      </c>
      <c r="F752">
        <v>0.91</v>
      </c>
      <c r="G752">
        <v>1.2469999999999999</v>
      </c>
      <c r="H752">
        <v>1.3705000000000001</v>
      </c>
      <c r="I752">
        <v>1.464</v>
      </c>
      <c r="J752">
        <v>1.609</v>
      </c>
      <c r="K752">
        <v>8.189042670366764E-2</v>
      </c>
      <c r="L752" s="112">
        <f>VLOOKUP(A752,[3]RESUMEN!$A:$AE,31,1)</f>
        <v>-0.43416371804035719</v>
      </c>
      <c r="M752" s="113">
        <f>VLOOKUP(A752,[3]RESUMEN!$A:$AH,34,1)</f>
        <v>0.34547106629058388</v>
      </c>
      <c r="N752" s="113">
        <f>VLOOKUP(A752,[3]RESUMEN!$A:$AI,35,1)</f>
        <v>-4.4346325874886655E-2</v>
      </c>
    </row>
    <row r="753" spans="1:14" x14ac:dyDescent="0.25">
      <c r="A753" s="102">
        <v>42902</v>
      </c>
      <c r="B753">
        <v>29.361000000000001</v>
      </c>
      <c r="C753">
        <v>42.640999999999998</v>
      </c>
      <c r="D753">
        <v>68.052999999999997</v>
      </c>
      <c r="E753">
        <v>128.40700000000001</v>
      </c>
      <c r="F753">
        <v>1.1599999999999999</v>
      </c>
      <c r="G753">
        <v>1.238</v>
      </c>
      <c r="H753">
        <v>1.343</v>
      </c>
      <c r="I753">
        <v>1.4330000000000001</v>
      </c>
      <c r="J753">
        <v>1.5739999999999998</v>
      </c>
      <c r="K753">
        <v>8.2674511066280099E-2</v>
      </c>
      <c r="L753" s="112">
        <f>VLOOKUP(A753,[3]RESUMEN!$A:$AE,31,1)</f>
        <v>-0.43416371804035719</v>
      </c>
      <c r="M753" s="113">
        <f>VLOOKUP(A753,[3]RESUMEN!$A:$AH,34,1)</f>
        <v>0.34547106629058388</v>
      </c>
      <c r="N753" s="113">
        <f>VLOOKUP(A753,[3]RESUMEN!$A:$AI,35,1)</f>
        <v>-4.4346325874886655E-2</v>
      </c>
    </row>
    <row r="754" spans="1:14" x14ac:dyDescent="0.25">
      <c r="A754" s="102">
        <v>42909</v>
      </c>
      <c r="B754">
        <v>33.927999999999997</v>
      </c>
      <c r="C754">
        <v>48.186999999999998</v>
      </c>
      <c r="D754">
        <v>71.847999999999999</v>
      </c>
      <c r="E754">
        <v>133.67599999999999</v>
      </c>
      <c r="F754">
        <v>1.1599999999999999</v>
      </c>
      <c r="G754">
        <v>1.2490000000000001</v>
      </c>
      <c r="H754">
        <v>1.351</v>
      </c>
      <c r="I754">
        <v>1.4370000000000001</v>
      </c>
      <c r="J754">
        <v>1.569</v>
      </c>
      <c r="K754">
        <v>8.6177228231659853E-2</v>
      </c>
      <c r="L754" s="112">
        <f>VLOOKUP(A754,[3]RESUMEN!$A:$AE,31,1)</f>
        <v>-0.43416371804035719</v>
      </c>
      <c r="M754" s="113">
        <f>VLOOKUP(A754,[3]RESUMEN!$A:$AH,34,1)</f>
        <v>0.34547106629058388</v>
      </c>
      <c r="N754" s="113">
        <f>VLOOKUP(A754,[3]RESUMEN!$A:$AI,35,1)</f>
        <v>-4.4346325874886655E-2</v>
      </c>
    </row>
    <row r="755" spans="1:14" x14ac:dyDescent="0.25">
      <c r="A755" s="102">
        <v>42916</v>
      </c>
      <c r="B755">
        <v>36.484999999999999</v>
      </c>
      <c r="C755">
        <v>52.398000000000003</v>
      </c>
      <c r="D755">
        <v>75.518000000000001</v>
      </c>
      <c r="E755">
        <v>136.137</v>
      </c>
      <c r="F755">
        <v>1.06</v>
      </c>
      <c r="G755">
        <v>1.284</v>
      </c>
      <c r="H755">
        <v>1.4235</v>
      </c>
      <c r="I755">
        <v>1.5350000000000001</v>
      </c>
      <c r="J755">
        <v>1.714</v>
      </c>
      <c r="K755">
        <v>8.7664164164557579E-2</v>
      </c>
      <c r="L755" s="112">
        <f>VLOOKUP(A755,[3]RESUMEN!$A:$AE,31,1)</f>
        <v>-0.37040584977420721</v>
      </c>
      <c r="M755" s="113">
        <f>VLOOKUP(A755,[3]RESUMEN!$A:$AH,34,1)</f>
        <v>0.56326433854451119</v>
      </c>
      <c r="N755" s="113">
        <f>VLOOKUP(A755,[3]RESUMEN!$A:$AI,35,1)</f>
        <v>9.6429244385151991E-2</v>
      </c>
    </row>
    <row r="756" spans="1:14" x14ac:dyDescent="0.25">
      <c r="A756" s="102">
        <v>42923</v>
      </c>
      <c r="B756">
        <v>39.299999999999997</v>
      </c>
      <c r="C756">
        <v>55</v>
      </c>
      <c r="D756">
        <v>80.406000000000006</v>
      </c>
      <c r="E756">
        <v>142.482</v>
      </c>
      <c r="F756">
        <v>1.1599999999999999</v>
      </c>
      <c r="G756">
        <v>1.296</v>
      </c>
      <c r="H756">
        <v>1.4535</v>
      </c>
      <c r="I756">
        <v>1.58</v>
      </c>
      <c r="J756">
        <v>1.7690000000000001</v>
      </c>
      <c r="K756">
        <v>9.1572978065428745E-2</v>
      </c>
      <c r="L756" s="112">
        <f>VLOOKUP(A756,[3]RESUMEN!$A:$AE,31,1)</f>
        <v>-0.37040584977420721</v>
      </c>
      <c r="M756" s="113">
        <f>VLOOKUP(A756,[3]RESUMEN!$A:$AH,34,1)</f>
        <v>0.56326433854451119</v>
      </c>
      <c r="N756" s="113">
        <f>VLOOKUP(A756,[3]RESUMEN!$A:$AI,35,1)</f>
        <v>9.6429244385151991E-2</v>
      </c>
    </row>
    <row r="757" spans="1:14" x14ac:dyDescent="0.25">
      <c r="A757" s="102">
        <v>42930</v>
      </c>
      <c r="B757">
        <v>35.597000000000001</v>
      </c>
      <c r="C757">
        <v>50.654000000000003</v>
      </c>
      <c r="D757">
        <v>74.290999999999997</v>
      </c>
      <c r="E757">
        <v>135.30000000000001</v>
      </c>
      <c r="F757">
        <v>1.1599999999999999</v>
      </c>
      <c r="G757">
        <v>1.27</v>
      </c>
      <c r="H757">
        <v>1.3980000000000001</v>
      </c>
      <c r="I757">
        <v>1.504</v>
      </c>
      <c r="J757">
        <v>1.6680000000000001</v>
      </c>
      <c r="K757">
        <v>8.7156410409909957E-2</v>
      </c>
      <c r="L757" s="112">
        <f>VLOOKUP(A757,[3]RESUMEN!$A:$AE,31,1)</f>
        <v>-0.37040584977420721</v>
      </c>
      <c r="M757" s="113">
        <f>VLOOKUP(A757,[3]RESUMEN!$A:$AH,34,1)</f>
        <v>0.56326433854451119</v>
      </c>
      <c r="N757" s="113">
        <f>VLOOKUP(A757,[3]RESUMEN!$A:$AI,35,1)</f>
        <v>9.6429244385151991E-2</v>
      </c>
    </row>
    <row r="758" spans="1:14" x14ac:dyDescent="0.25">
      <c r="A758" s="102">
        <v>42937</v>
      </c>
      <c r="B758">
        <v>32.253999999999998</v>
      </c>
      <c r="C758">
        <v>44.814</v>
      </c>
      <c r="D758">
        <v>70.259</v>
      </c>
      <c r="E758">
        <v>131.34899999999999</v>
      </c>
      <c r="F758">
        <v>1.1599999999999999</v>
      </c>
      <c r="G758">
        <v>1.262</v>
      </c>
      <c r="H758">
        <v>1.3759999999999999</v>
      </c>
      <c r="I758">
        <v>1.4670000000000001</v>
      </c>
      <c r="J758">
        <v>1.617</v>
      </c>
      <c r="K758">
        <v>8.474312359185121E-2</v>
      </c>
      <c r="L758" s="112">
        <f>VLOOKUP(A758,[3]RESUMEN!$A:$AE,31,1)</f>
        <v>-0.37040584977420721</v>
      </c>
      <c r="M758" s="113">
        <f>VLOOKUP(A758,[3]RESUMEN!$A:$AH,34,1)</f>
        <v>0.56326433854451119</v>
      </c>
      <c r="N758" s="113">
        <f>VLOOKUP(A758,[3]RESUMEN!$A:$AI,35,1)</f>
        <v>9.6429244385151991E-2</v>
      </c>
    </row>
    <row r="759" spans="1:14" x14ac:dyDescent="0.25">
      <c r="A759" s="102">
        <v>42944</v>
      </c>
      <c r="B759">
        <v>29.593</v>
      </c>
      <c r="C759">
        <v>43.25</v>
      </c>
      <c r="D759">
        <v>66.867999999999995</v>
      </c>
      <c r="E759">
        <v>128.75399999999999</v>
      </c>
      <c r="F759">
        <v>1.1599999999999999</v>
      </c>
      <c r="G759">
        <v>1.2625</v>
      </c>
      <c r="H759">
        <v>1.3745000000000001</v>
      </c>
      <c r="I759">
        <v>1.4650000000000001</v>
      </c>
      <c r="J759">
        <v>1.639</v>
      </c>
      <c r="K759">
        <v>8.315149584358883E-2</v>
      </c>
      <c r="L759" s="112">
        <f>VLOOKUP(A759,[3]RESUMEN!$A:$AE,31,1)</f>
        <v>-0.37040584977420721</v>
      </c>
      <c r="M759" s="113">
        <f>VLOOKUP(A759,[3]RESUMEN!$A:$AH,34,1)</f>
        <v>0.56326433854451119</v>
      </c>
      <c r="N759" s="113">
        <f>VLOOKUP(A759,[3]RESUMEN!$A:$AI,35,1)</f>
        <v>9.6429244385151991E-2</v>
      </c>
    </row>
    <row r="760" spans="1:14" x14ac:dyDescent="0.25">
      <c r="A760" s="102">
        <v>42951</v>
      </c>
      <c r="B760">
        <v>27.236999999999998</v>
      </c>
      <c r="C760">
        <v>41.658000000000001</v>
      </c>
      <c r="D760">
        <v>63.554000000000002</v>
      </c>
      <c r="E760">
        <v>124.218</v>
      </c>
      <c r="F760">
        <v>1.1599999999999999</v>
      </c>
      <c r="G760">
        <v>1.264</v>
      </c>
      <c r="H760">
        <v>1.375</v>
      </c>
      <c r="I760">
        <v>1.456</v>
      </c>
      <c r="J760">
        <v>1.611</v>
      </c>
      <c r="K760">
        <v>8.0329636609840271E-2</v>
      </c>
      <c r="L760" s="112">
        <f>VLOOKUP(A760,[3]RESUMEN!$A:$AE,31,1)</f>
        <v>-0.37040584977420721</v>
      </c>
      <c r="M760" s="113">
        <f>VLOOKUP(A760,[3]RESUMEN!$A:$AH,34,1)</f>
        <v>0.56326433854451119</v>
      </c>
      <c r="N760" s="113">
        <f>VLOOKUP(A760,[3]RESUMEN!$A:$AI,35,1)</f>
        <v>9.6429244385151991E-2</v>
      </c>
    </row>
    <row r="761" spans="1:14" x14ac:dyDescent="0.25">
      <c r="A761" s="102">
        <v>42958</v>
      </c>
      <c r="B761">
        <v>32.332000000000001</v>
      </c>
      <c r="C761">
        <v>46.226999999999997</v>
      </c>
      <c r="D761">
        <v>68.819999999999993</v>
      </c>
      <c r="E761">
        <v>129.31700000000001</v>
      </c>
      <c r="F761">
        <v>1.1599999999999999</v>
      </c>
      <c r="G761">
        <v>1.238</v>
      </c>
      <c r="H761">
        <v>1.3245</v>
      </c>
      <c r="I761">
        <v>1.397</v>
      </c>
      <c r="J761">
        <v>1.5430000000000001</v>
      </c>
      <c r="K761">
        <v>8.3471123020951055E-2</v>
      </c>
      <c r="L761" s="112">
        <f>VLOOKUP(A761,[3]RESUMEN!$A:$AE,31,1)</f>
        <v>-0.37040584977420721</v>
      </c>
      <c r="M761" s="113">
        <f>VLOOKUP(A761,[3]RESUMEN!$A:$AH,34,1)</f>
        <v>0.56326433854451119</v>
      </c>
      <c r="N761" s="113">
        <f>VLOOKUP(A761,[3]RESUMEN!$A:$AI,35,1)</f>
        <v>9.6429244385151991E-2</v>
      </c>
    </row>
    <row r="762" spans="1:14" x14ac:dyDescent="0.25">
      <c r="A762" s="102">
        <v>42965</v>
      </c>
      <c r="B762">
        <v>32.049999999999997</v>
      </c>
      <c r="C762">
        <v>46.506</v>
      </c>
      <c r="D762">
        <v>69.73</v>
      </c>
      <c r="E762">
        <v>130.529</v>
      </c>
      <c r="F762">
        <v>1.1599999999999999</v>
      </c>
      <c r="G762">
        <v>1.258</v>
      </c>
      <c r="H762">
        <v>1.3460000000000001</v>
      </c>
      <c r="I762">
        <v>1.4179999999999999</v>
      </c>
      <c r="J762">
        <v>1.5489999999999999</v>
      </c>
      <c r="K762">
        <v>8.4269637160808708E-2</v>
      </c>
      <c r="L762" s="112">
        <f>VLOOKUP(A762,[3]RESUMEN!$A:$AE,31,1)</f>
        <v>-0.37040584977420721</v>
      </c>
      <c r="M762" s="113">
        <f>VLOOKUP(A762,[3]RESUMEN!$A:$AH,34,1)</f>
        <v>0.56326433854451119</v>
      </c>
      <c r="N762" s="113">
        <f>VLOOKUP(A762,[3]RESUMEN!$A:$AI,35,1)</f>
        <v>9.6429244385151991E-2</v>
      </c>
    </row>
    <row r="763" spans="1:14" x14ac:dyDescent="0.25">
      <c r="A763" s="102">
        <v>42972</v>
      </c>
      <c r="B763">
        <v>29.882000000000001</v>
      </c>
      <c r="C763">
        <v>42.854999999999997</v>
      </c>
      <c r="D763">
        <v>66.034999999999997</v>
      </c>
      <c r="E763">
        <v>126.806</v>
      </c>
      <c r="F763">
        <v>1.1599999999999999</v>
      </c>
      <c r="G763">
        <v>1.2549999999999999</v>
      </c>
      <c r="H763">
        <v>1.339</v>
      </c>
      <c r="I763">
        <v>1.405</v>
      </c>
      <c r="J763">
        <v>1.532</v>
      </c>
      <c r="K763">
        <v>8.1932537629498037E-2</v>
      </c>
      <c r="L763" s="112">
        <f>VLOOKUP(A763,[3]RESUMEN!$A:$AE,31,1)</f>
        <v>-0.37040584977420721</v>
      </c>
      <c r="M763" s="113">
        <f>VLOOKUP(A763,[3]RESUMEN!$A:$AH,34,1)</f>
        <v>0.56326433854451119</v>
      </c>
      <c r="N763" s="113">
        <f>VLOOKUP(A763,[3]RESUMEN!$A:$AI,35,1)</f>
        <v>9.6429244385151991E-2</v>
      </c>
    </row>
    <row r="764" spans="1:14" x14ac:dyDescent="0.25">
      <c r="A764" s="102">
        <v>42979</v>
      </c>
      <c r="B764">
        <v>29.17</v>
      </c>
      <c r="C764">
        <v>42.156999999999996</v>
      </c>
      <c r="D764">
        <v>62.886000000000003</v>
      </c>
      <c r="E764">
        <v>121.08</v>
      </c>
      <c r="F764">
        <v>1.1599999999999999</v>
      </c>
      <c r="G764">
        <v>1.2530000000000001</v>
      </c>
      <c r="H764">
        <v>1.3355000000000001</v>
      </c>
      <c r="I764">
        <v>1.399</v>
      </c>
      <c r="J764">
        <v>1.5249999999999999</v>
      </c>
      <c r="K764">
        <v>7.8344085030626509E-2</v>
      </c>
      <c r="L764" s="112">
        <f>VLOOKUP(A764,[3]RESUMEN!$A:$AE,31,1)</f>
        <v>-0.37040584977420721</v>
      </c>
      <c r="M764" s="113">
        <f>VLOOKUP(A764,[3]RESUMEN!$A:$AH,34,1)</f>
        <v>0.56326433854451119</v>
      </c>
      <c r="N764" s="113">
        <f>VLOOKUP(A764,[3]RESUMEN!$A:$AI,35,1)</f>
        <v>9.6429244385151991E-2</v>
      </c>
    </row>
    <row r="765" spans="1:14" x14ac:dyDescent="0.25">
      <c r="A765" s="102">
        <v>42986</v>
      </c>
      <c r="B765">
        <v>24.417999999999999</v>
      </c>
      <c r="C765">
        <v>35.761000000000003</v>
      </c>
      <c r="D765">
        <v>58.875999999999998</v>
      </c>
      <c r="E765">
        <v>114.593</v>
      </c>
      <c r="F765">
        <v>1.1599999999999999</v>
      </c>
      <c r="G765">
        <v>1.23</v>
      </c>
      <c r="H765">
        <v>1.2969999999999999</v>
      </c>
      <c r="I765">
        <v>1.351</v>
      </c>
      <c r="J765">
        <v>1.4525000000000001</v>
      </c>
      <c r="K765">
        <v>7.4307497638438025E-2</v>
      </c>
      <c r="L765" s="112">
        <f>VLOOKUP(A765,[3]RESUMEN!$A:$AE,31,1)</f>
        <v>-0.37040584977420721</v>
      </c>
      <c r="M765" s="113">
        <f>VLOOKUP(A765,[3]RESUMEN!$A:$AH,34,1)</f>
        <v>0.56326433854451119</v>
      </c>
      <c r="N765" s="113">
        <f>VLOOKUP(A765,[3]RESUMEN!$A:$AI,35,1)</f>
        <v>9.6429244385151991E-2</v>
      </c>
    </row>
    <row r="766" spans="1:14" x14ac:dyDescent="0.25">
      <c r="A766" s="102">
        <v>42993</v>
      </c>
      <c r="B766">
        <v>24.616</v>
      </c>
      <c r="C766">
        <v>35.951999999999998</v>
      </c>
      <c r="D766">
        <v>57.37</v>
      </c>
      <c r="E766">
        <v>111.801</v>
      </c>
      <c r="F766">
        <v>1.1599999999999999</v>
      </c>
      <c r="G766">
        <v>1.306</v>
      </c>
      <c r="H766">
        <v>1.42</v>
      </c>
      <c r="I766">
        <v>1.4990000000000001</v>
      </c>
      <c r="J766">
        <v>1.6294999999999999</v>
      </c>
      <c r="K766">
        <v>7.2543364540173072E-2</v>
      </c>
      <c r="L766" s="112">
        <f>VLOOKUP(A766,[3]RESUMEN!$A:$AE,31,1)</f>
        <v>-0.37040584977420721</v>
      </c>
      <c r="M766" s="113">
        <f>VLOOKUP(A766,[3]RESUMEN!$A:$AH,34,1)</f>
        <v>0.56326433854451119</v>
      </c>
      <c r="N766" s="113">
        <f>VLOOKUP(A766,[3]RESUMEN!$A:$AI,35,1)</f>
        <v>9.6429244385151991E-2</v>
      </c>
    </row>
    <row r="767" spans="1:14" x14ac:dyDescent="0.25">
      <c r="A767" s="102">
        <v>43000</v>
      </c>
      <c r="B767">
        <v>32.585999999999999</v>
      </c>
      <c r="C767">
        <v>49.033999999999999</v>
      </c>
      <c r="D767">
        <v>70.875</v>
      </c>
      <c r="E767">
        <v>127.437</v>
      </c>
      <c r="F767">
        <v>1.1599999999999999</v>
      </c>
      <c r="G767">
        <v>1.353</v>
      </c>
      <c r="H767">
        <v>1.48</v>
      </c>
      <c r="I767">
        <v>1.5609999999999999</v>
      </c>
      <c r="J767">
        <v>1.681</v>
      </c>
      <c r="K767">
        <v>8.2257931770903125E-2</v>
      </c>
      <c r="L767" s="112">
        <f>VLOOKUP(A767,[3]RESUMEN!$A:$AE,31,1)</f>
        <v>-0.37040584977420721</v>
      </c>
      <c r="M767" s="113">
        <f>VLOOKUP(A767,[3]RESUMEN!$A:$AH,34,1)</f>
        <v>0.56326433854451119</v>
      </c>
      <c r="N767" s="113">
        <f>VLOOKUP(A767,[3]RESUMEN!$A:$AI,35,1)</f>
        <v>9.6429244385151991E-2</v>
      </c>
    </row>
    <row r="768" spans="1:14" x14ac:dyDescent="0.25">
      <c r="A768" s="102">
        <v>43007</v>
      </c>
      <c r="B768">
        <v>31.183</v>
      </c>
      <c r="C768">
        <v>45.664000000000001</v>
      </c>
      <c r="D768">
        <v>65.629000000000005</v>
      </c>
      <c r="E768">
        <v>122.242</v>
      </c>
      <c r="F768">
        <v>1.06</v>
      </c>
      <c r="G768">
        <v>1.377</v>
      </c>
      <c r="H768">
        <v>1.5190000000000001</v>
      </c>
      <c r="I768">
        <v>1.6099999999999999</v>
      </c>
      <c r="J768">
        <v>1.744</v>
      </c>
      <c r="K768">
        <v>7.9041850386682322E-2</v>
      </c>
      <c r="L768" s="112">
        <f>VLOOKUP(A768,[3]RESUMEN!$A:$AE,31,1)</f>
        <v>-0.37040584977420721</v>
      </c>
      <c r="M768" s="113">
        <f>VLOOKUP(A768,[3]RESUMEN!$A:$AH,34,1)</f>
        <v>0.56326433854451119</v>
      </c>
      <c r="N768" s="113">
        <f>VLOOKUP(A768,[3]RESUMEN!$A:$AI,35,1)</f>
        <v>9.6429244385151991E-2</v>
      </c>
    </row>
    <row r="769" spans="1:14" x14ac:dyDescent="0.25">
      <c r="A769" s="102">
        <v>43014</v>
      </c>
      <c r="B769">
        <v>30.169</v>
      </c>
      <c r="C769">
        <v>41.79</v>
      </c>
      <c r="D769">
        <v>61.122</v>
      </c>
      <c r="E769">
        <v>114.627</v>
      </c>
      <c r="F769">
        <v>1.1599999999999999</v>
      </c>
      <c r="G769">
        <v>1.4139999999999999</v>
      </c>
      <c r="H769">
        <v>1.556</v>
      </c>
      <c r="I769">
        <v>1.6440000000000001</v>
      </c>
      <c r="J769">
        <v>1.7669999999999999</v>
      </c>
      <c r="K769">
        <v>7.4278046818959886E-2</v>
      </c>
      <c r="L769" s="112">
        <f>VLOOKUP(A769,[3]RESUMEN!$A:$AE,31,1)</f>
        <v>-0.31320381292598665</v>
      </c>
      <c r="M769" s="113">
        <f>VLOOKUP(A769,[3]RESUMEN!$A:$AH,34,1)</f>
        <v>0.78614387531783403</v>
      </c>
      <c r="N769" s="113">
        <f>VLOOKUP(A769,[3]RESUMEN!$A:$AI,35,1)</f>
        <v>0.23647003119592369</v>
      </c>
    </row>
    <row r="770" spans="1:14" x14ac:dyDescent="0.25">
      <c r="A770" s="102">
        <v>43021</v>
      </c>
      <c r="B770">
        <v>29.748000000000001</v>
      </c>
      <c r="C770">
        <v>42.781999999999996</v>
      </c>
      <c r="D770">
        <v>62.540999999999997</v>
      </c>
      <c r="E770">
        <v>117.804</v>
      </c>
      <c r="F770">
        <v>1.1599999999999999</v>
      </c>
      <c r="G770">
        <v>1.4139999999999999</v>
      </c>
      <c r="H770">
        <v>1.5409999999999999</v>
      </c>
      <c r="I770">
        <v>1.615</v>
      </c>
      <c r="J770">
        <v>1.7109999999999999</v>
      </c>
      <c r="K770">
        <v>7.6287820756161917E-2</v>
      </c>
      <c r="L770" s="112">
        <f>VLOOKUP(A770,[3]RESUMEN!$A:$AE,31,1)</f>
        <v>-0.31320381292598665</v>
      </c>
      <c r="M770" s="113">
        <f>VLOOKUP(A770,[3]RESUMEN!$A:$AH,34,1)</f>
        <v>0.78614387531783403</v>
      </c>
      <c r="N770" s="113">
        <f>VLOOKUP(A770,[3]RESUMEN!$A:$AI,35,1)</f>
        <v>0.23647003119592369</v>
      </c>
    </row>
    <row r="771" spans="1:14" x14ac:dyDescent="0.25">
      <c r="A771" s="102">
        <v>43028</v>
      </c>
      <c r="B771">
        <v>28.835000000000001</v>
      </c>
      <c r="C771">
        <v>40.159999999999997</v>
      </c>
      <c r="D771">
        <v>59.076999999999998</v>
      </c>
      <c r="E771">
        <v>111.694</v>
      </c>
      <c r="F771">
        <v>1.1599999999999999</v>
      </c>
      <c r="G771">
        <v>1.4565000000000001</v>
      </c>
      <c r="H771">
        <v>1.6120000000000001</v>
      </c>
      <c r="I771">
        <v>1.7130000000000001</v>
      </c>
      <c r="J771">
        <v>1.8439999999999999</v>
      </c>
      <c r="K771">
        <v>7.2443571789493677E-2</v>
      </c>
      <c r="L771" s="112">
        <f>VLOOKUP(A771,[3]RESUMEN!$A:$AE,31,1)</f>
        <v>-0.31320381292598665</v>
      </c>
      <c r="M771" s="113">
        <f>VLOOKUP(A771,[3]RESUMEN!$A:$AH,34,1)</f>
        <v>0.78614387531783403</v>
      </c>
      <c r="N771" s="113">
        <f>VLOOKUP(A771,[3]RESUMEN!$A:$AI,35,1)</f>
        <v>0.23647003119592369</v>
      </c>
    </row>
    <row r="772" spans="1:14" x14ac:dyDescent="0.25">
      <c r="A772" s="102">
        <v>43035</v>
      </c>
      <c r="B772">
        <v>30.783000000000001</v>
      </c>
      <c r="C772">
        <v>43.89</v>
      </c>
      <c r="D772">
        <v>61.148000000000003</v>
      </c>
      <c r="E772">
        <v>111.678</v>
      </c>
      <c r="F772">
        <v>1.1599999999999999</v>
      </c>
      <c r="G772">
        <v>1.4689999999999999</v>
      </c>
      <c r="H772">
        <v>1.621</v>
      </c>
      <c r="I772">
        <v>1.7189999999999999</v>
      </c>
      <c r="J772">
        <v>1.849</v>
      </c>
      <c r="K772">
        <v>7.2443571789493677E-2</v>
      </c>
      <c r="L772" s="112">
        <f>VLOOKUP(A772,[3]RESUMEN!$A:$AE,31,1)</f>
        <v>-0.31320381292598665</v>
      </c>
      <c r="M772" s="113">
        <f>VLOOKUP(A772,[3]RESUMEN!$A:$AH,34,1)</f>
        <v>0.78614387531783403</v>
      </c>
      <c r="N772" s="113">
        <f>VLOOKUP(A772,[3]RESUMEN!$A:$AI,35,1)</f>
        <v>0.23647003119592369</v>
      </c>
    </row>
    <row r="773" spans="1:14" x14ac:dyDescent="0.25">
      <c r="A773" s="102">
        <v>43042</v>
      </c>
      <c r="B773">
        <v>32.969000000000001</v>
      </c>
      <c r="C773">
        <v>43.942</v>
      </c>
      <c r="D773">
        <v>64.150999999999996</v>
      </c>
      <c r="E773">
        <v>116.72199999999999</v>
      </c>
      <c r="F773">
        <v>1.1599999999999999</v>
      </c>
      <c r="G773">
        <v>1.4910000000000001</v>
      </c>
      <c r="H773">
        <v>1.6254999999999999</v>
      </c>
      <c r="I773">
        <v>1.708</v>
      </c>
      <c r="J773">
        <v>1.8140000000000001</v>
      </c>
      <c r="K773">
        <v>7.5571430528837524E-2</v>
      </c>
      <c r="L773" s="112">
        <f>VLOOKUP(A773,[3]RESUMEN!$A:$AE,31,1)</f>
        <v>-0.31320381292598665</v>
      </c>
      <c r="M773" s="113">
        <f>VLOOKUP(A773,[3]RESUMEN!$A:$AH,34,1)</f>
        <v>0.78614387531783403</v>
      </c>
      <c r="N773" s="113">
        <f>VLOOKUP(A773,[3]RESUMEN!$A:$AI,35,1)</f>
        <v>0.23647003119592369</v>
      </c>
    </row>
    <row r="774" spans="1:14" x14ac:dyDescent="0.25">
      <c r="A774" s="102">
        <v>43049</v>
      </c>
      <c r="B774">
        <v>36.529000000000003</v>
      </c>
      <c r="C774">
        <v>49.933</v>
      </c>
      <c r="D774">
        <v>70.094999999999999</v>
      </c>
      <c r="E774">
        <v>123.34699999999999</v>
      </c>
      <c r="F774">
        <v>1.1599999999999999</v>
      </c>
      <c r="G774">
        <v>1.5110000000000001</v>
      </c>
      <c r="H774">
        <v>1.647</v>
      </c>
      <c r="I774">
        <v>1.734</v>
      </c>
      <c r="J774">
        <v>1.8574999999999999</v>
      </c>
      <c r="K774">
        <v>7.9677906339431392E-2</v>
      </c>
      <c r="L774" s="112">
        <f>VLOOKUP(A774,[3]RESUMEN!$A:$AE,31,1)</f>
        <v>-0.31320381292598665</v>
      </c>
      <c r="M774" s="113">
        <f>VLOOKUP(A774,[3]RESUMEN!$A:$AH,34,1)</f>
        <v>0.78614387531783403</v>
      </c>
      <c r="N774" s="113">
        <f>VLOOKUP(A774,[3]RESUMEN!$A:$AI,35,1)</f>
        <v>0.23647003119592369</v>
      </c>
    </row>
    <row r="775" spans="1:14" x14ac:dyDescent="0.25">
      <c r="A775" s="102">
        <v>43056</v>
      </c>
      <c r="B775">
        <v>34.276000000000003</v>
      </c>
      <c r="C775">
        <v>46.375999999999998</v>
      </c>
      <c r="D775">
        <v>66.155000000000001</v>
      </c>
      <c r="E775">
        <v>119.155</v>
      </c>
      <c r="F775">
        <v>1.1599999999999999</v>
      </c>
      <c r="G775">
        <v>1.5350000000000001</v>
      </c>
      <c r="H775">
        <v>1.67</v>
      </c>
      <c r="I775">
        <v>1.752</v>
      </c>
      <c r="J775">
        <v>1.8519999999999999</v>
      </c>
      <c r="K775">
        <v>7.7082816488575068E-2</v>
      </c>
      <c r="L775" s="112">
        <f>VLOOKUP(A775,[3]RESUMEN!$A:$AE,31,1)</f>
        <v>-0.31320381292598665</v>
      </c>
      <c r="M775" s="113">
        <f>VLOOKUP(A775,[3]RESUMEN!$A:$AH,34,1)</f>
        <v>0.78614387531783403</v>
      </c>
      <c r="N775" s="113">
        <f>VLOOKUP(A775,[3]RESUMEN!$A:$AI,35,1)</f>
        <v>0.23647003119592369</v>
      </c>
    </row>
    <row r="776" spans="1:14" x14ac:dyDescent="0.25">
      <c r="A776" s="102">
        <v>43063</v>
      </c>
      <c r="B776">
        <v>30.334</v>
      </c>
      <c r="C776">
        <v>40.957000000000001</v>
      </c>
      <c r="D776">
        <v>59.527000000000001</v>
      </c>
      <c r="E776">
        <v>112.946</v>
      </c>
      <c r="F776">
        <v>1.1599999999999999</v>
      </c>
      <c r="G776">
        <v>1.5594999999999999</v>
      </c>
      <c r="H776">
        <v>1.6983000000000001</v>
      </c>
      <c r="I776">
        <v>1.774</v>
      </c>
      <c r="J776">
        <v>1.8660000000000001</v>
      </c>
      <c r="K776">
        <v>7.322740759805102E-2</v>
      </c>
      <c r="L776" s="112">
        <f>VLOOKUP(A776,[3]RESUMEN!$A:$AE,31,1)</f>
        <v>-0.31320381292598665</v>
      </c>
      <c r="M776" s="113">
        <f>VLOOKUP(A776,[3]RESUMEN!$A:$AH,34,1)</f>
        <v>0.78614387531783403</v>
      </c>
      <c r="N776" s="113">
        <f>VLOOKUP(A776,[3]RESUMEN!$A:$AI,35,1)</f>
        <v>0.23647003119592369</v>
      </c>
    </row>
    <row r="777" spans="1:14" x14ac:dyDescent="0.25">
      <c r="A777" s="102">
        <v>43070</v>
      </c>
      <c r="B777">
        <v>30.725999999999999</v>
      </c>
      <c r="C777">
        <v>44.515999999999998</v>
      </c>
      <c r="D777">
        <v>62.866</v>
      </c>
      <c r="E777">
        <v>112.643</v>
      </c>
      <c r="F777">
        <v>1.1599999999999999</v>
      </c>
      <c r="G777">
        <v>1.5867</v>
      </c>
      <c r="H777">
        <v>1.7410000000000001</v>
      </c>
      <c r="I777">
        <v>1.825</v>
      </c>
      <c r="J777">
        <v>1.907</v>
      </c>
      <c r="K777">
        <v>7.322740759805102E-2</v>
      </c>
      <c r="L777" s="112">
        <f>VLOOKUP(A777,[3]RESUMEN!$A:$AE,31,1)</f>
        <v>-0.31320381292598665</v>
      </c>
      <c r="M777" s="113">
        <f>VLOOKUP(A777,[3]RESUMEN!$A:$AH,34,1)</f>
        <v>0.78614387531783403</v>
      </c>
      <c r="N777" s="113">
        <f>VLOOKUP(A777,[3]RESUMEN!$A:$AI,35,1)</f>
        <v>0.23647003119592369</v>
      </c>
    </row>
    <row r="778" spans="1:14" x14ac:dyDescent="0.25">
      <c r="A778" s="102">
        <v>43077</v>
      </c>
      <c r="B778">
        <v>30.76</v>
      </c>
      <c r="C778">
        <v>41.85</v>
      </c>
      <c r="D778">
        <v>59.67</v>
      </c>
      <c r="E778">
        <v>110.45399999999999</v>
      </c>
      <c r="F778">
        <v>1.1599999999999999</v>
      </c>
      <c r="G778">
        <v>1.6114999999999999</v>
      </c>
      <c r="H778">
        <v>1.764</v>
      </c>
      <c r="I778">
        <v>1.839</v>
      </c>
      <c r="J778">
        <v>1.9260000000000002</v>
      </c>
      <c r="K778">
        <v>7.1645359427707334E-2</v>
      </c>
      <c r="L778" s="112">
        <f>VLOOKUP(A778,[3]RESUMEN!$A:$AE,31,1)</f>
        <v>-0.31320381292598665</v>
      </c>
      <c r="M778" s="113">
        <f>VLOOKUP(A778,[3]RESUMEN!$A:$AH,34,1)</f>
        <v>0.78614387531783403</v>
      </c>
      <c r="N778" s="113">
        <f>VLOOKUP(A778,[3]RESUMEN!$A:$AI,35,1)</f>
        <v>0.23647003119592369</v>
      </c>
    </row>
    <row r="779" spans="1:14" x14ac:dyDescent="0.25">
      <c r="A779" s="102">
        <v>43084</v>
      </c>
      <c r="B779">
        <v>29.753</v>
      </c>
      <c r="C779">
        <v>42.679000000000002</v>
      </c>
      <c r="D779">
        <v>59.32</v>
      </c>
      <c r="E779">
        <v>110.253</v>
      </c>
      <c r="F779">
        <v>1.41</v>
      </c>
      <c r="G779">
        <v>1.6415</v>
      </c>
      <c r="H779">
        <v>1.7942</v>
      </c>
      <c r="I779">
        <v>1.863</v>
      </c>
      <c r="J779">
        <v>1.9239999999999999</v>
      </c>
      <c r="K779">
        <v>7.1645359427707334E-2</v>
      </c>
      <c r="L779" s="112">
        <f>VLOOKUP(A779,[3]RESUMEN!$A:$AE,31,1)</f>
        <v>-0.31320381292598665</v>
      </c>
      <c r="M779" s="113">
        <f>VLOOKUP(A779,[3]RESUMEN!$A:$AH,34,1)</f>
        <v>0.78614387531783403</v>
      </c>
      <c r="N779" s="113">
        <f>VLOOKUP(A779,[3]RESUMEN!$A:$AI,35,1)</f>
        <v>0.23647003119592369</v>
      </c>
    </row>
    <row r="780" spans="1:14" x14ac:dyDescent="0.25">
      <c r="A780" s="102">
        <v>43091</v>
      </c>
      <c r="B780">
        <v>28.257999999999999</v>
      </c>
      <c r="C780">
        <v>39.783999999999999</v>
      </c>
      <c r="D780">
        <v>55.878999999999998</v>
      </c>
      <c r="E780">
        <v>105.801</v>
      </c>
      <c r="F780">
        <v>1.42</v>
      </c>
      <c r="G780">
        <v>1.669</v>
      </c>
      <c r="H780">
        <v>1.843</v>
      </c>
      <c r="I780">
        <v>1.929</v>
      </c>
      <c r="J780">
        <v>2.008</v>
      </c>
      <c r="K780">
        <v>6.8725644772621886E-2</v>
      </c>
      <c r="L780" s="112">
        <f>VLOOKUP(A780,[3]RESUMEN!$A:$AE,31,1)</f>
        <v>-0.31320381292598665</v>
      </c>
      <c r="M780" s="113">
        <f>VLOOKUP(A780,[3]RESUMEN!$A:$AH,34,1)</f>
        <v>0.78614387531783403</v>
      </c>
      <c r="N780" s="113">
        <f>VLOOKUP(A780,[3]RESUMEN!$A:$AI,35,1)</f>
        <v>0.23647003119592369</v>
      </c>
    </row>
    <row r="781" spans="1:14" x14ac:dyDescent="0.25">
      <c r="A781" s="102">
        <v>43098</v>
      </c>
      <c r="B781">
        <v>22.361000000000001</v>
      </c>
      <c r="C781">
        <v>34.905000000000001</v>
      </c>
      <c r="D781">
        <v>49.427999999999997</v>
      </c>
      <c r="E781">
        <v>104.706</v>
      </c>
      <c r="F781">
        <v>1.33</v>
      </c>
      <c r="G781">
        <v>1.673</v>
      </c>
      <c r="H781">
        <v>1.8359999999999999</v>
      </c>
      <c r="I781">
        <v>1.907</v>
      </c>
      <c r="J781">
        <v>1.9630000000000001</v>
      </c>
      <c r="K781">
        <v>6.8725644772621886E-2</v>
      </c>
      <c r="L781" s="112">
        <f>VLOOKUP(A781,[3]RESUMEN!$A:$AE,31,1)</f>
        <v>-0.31320381292598665</v>
      </c>
      <c r="M781" s="113">
        <f>VLOOKUP(A781,[3]RESUMEN!$A:$AH,34,1)</f>
        <v>0.78614387531783403</v>
      </c>
      <c r="N781" s="113">
        <f>VLOOKUP(A781,[3]RESUMEN!$A:$AI,35,1)</f>
        <v>0.23647003119592369</v>
      </c>
    </row>
    <row r="782" spans="1:14" x14ac:dyDescent="0.25">
      <c r="A782" s="102">
        <v>43105</v>
      </c>
      <c r="B782">
        <v>23.640999999999998</v>
      </c>
      <c r="C782">
        <v>32.479999999999997</v>
      </c>
      <c r="D782">
        <v>49.686</v>
      </c>
      <c r="E782">
        <v>97.004000000000005</v>
      </c>
      <c r="F782">
        <v>1.42</v>
      </c>
      <c r="G782">
        <v>1.7222</v>
      </c>
      <c r="H782">
        <v>1.9020000000000001</v>
      </c>
      <c r="I782">
        <v>1.984</v>
      </c>
      <c r="J782">
        <v>2.0499999999999998</v>
      </c>
      <c r="K782">
        <v>6.3187418790439542E-2</v>
      </c>
      <c r="L782" s="112">
        <f>VLOOKUP(A782,[3]RESUMEN!$A:$AE,31,1)</f>
        <v>-0.25541802899701282</v>
      </c>
      <c r="M782" s="113">
        <f>VLOOKUP(A782,[3]RESUMEN!$A:$AH,34,1)</f>
        <v>0.95553460024995696</v>
      </c>
      <c r="N782" s="113">
        <f>VLOOKUP(A782,[3]RESUMEN!$A:$AI,35,1)</f>
        <v>0.35005828562647207</v>
      </c>
    </row>
    <row r="783" spans="1:14" x14ac:dyDescent="0.25">
      <c r="A783" s="102">
        <v>43112</v>
      </c>
      <c r="B783">
        <v>22.146999999999998</v>
      </c>
      <c r="C783">
        <v>34.213000000000001</v>
      </c>
      <c r="D783">
        <v>46.957000000000001</v>
      </c>
      <c r="E783">
        <v>92.123000000000005</v>
      </c>
      <c r="F783">
        <v>1.42</v>
      </c>
      <c r="G783">
        <v>1.7534000000000001</v>
      </c>
      <c r="H783">
        <v>1.9379999999999999</v>
      </c>
      <c r="I783">
        <v>2.0289999999999999</v>
      </c>
      <c r="J783">
        <v>2.1030000000000002</v>
      </c>
      <c r="K783">
        <v>6.008107481482361E-2</v>
      </c>
      <c r="L783" s="112">
        <f>VLOOKUP(A783,[3]RESUMEN!$A:$AE,31,1)</f>
        <v>-0.25541802899701282</v>
      </c>
      <c r="M783" s="113">
        <f>VLOOKUP(A783,[3]RESUMEN!$A:$AH,34,1)</f>
        <v>0.95553460024995696</v>
      </c>
      <c r="N783" s="113">
        <f>VLOOKUP(A783,[3]RESUMEN!$A:$AI,35,1)</f>
        <v>0.35005828562647207</v>
      </c>
    </row>
    <row r="784" spans="1:14" x14ac:dyDescent="0.25">
      <c r="A784" s="102">
        <v>43119</v>
      </c>
      <c r="B784">
        <v>21.454999999999998</v>
      </c>
      <c r="C784">
        <v>30.62</v>
      </c>
      <c r="D784">
        <v>45.56</v>
      </c>
      <c r="E784">
        <v>91.25</v>
      </c>
      <c r="F784">
        <v>1.42</v>
      </c>
      <c r="G784">
        <v>1.7806</v>
      </c>
      <c r="H784">
        <v>1.9914000000000001</v>
      </c>
      <c r="I784">
        <v>2.1110000000000002</v>
      </c>
      <c r="J784">
        <v>2.2229999999999999</v>
      </c>
      <c r="K784">
        <v>6.008107481482361E-2</v>
      </c>
      <c r="L784" s="112">
        <f>VLOOKUP(A784,[3]RESUMEN!$A:$AE,31,1)</f>
        <v>-0.25541802899701282</v>
      </c>
      <c r="M784" s="113">
        <f>VLOOKUP(A784,[3]RESUMEN!$A:$AH,34,1)</f>
        <v>0.95553460024995696</v>
      </c>
      <c r="N784" s="113">
        <f>VLOOKUP(A784,[3]RESUMEN!$A:$AI,35,1)</f>
        <v>0.35005828562647207</v>
      </c>
    </row>
    <row r="785" spans="1:14" x14ac:dyDescent="0.25">
      <c r="A785" s="102">
        <v>43126</v>
      </c>
      <c r="B785">
        <v>20.542000000000002</v>
      </c>
      <c r="C785">
        <v>29.942</v>
      </c>
      <c r="D785">
        <v>44.374000000000002</v>
      </c>
      <c r="E785">
        <v>89.492999999999995</v>
      </c>
      <c r="F785">
        <v>1.42</v>
      </c>
      <c r="G785">
        <v>1.806</v>
      </c>
      <c r="H785">
        <v>2.0207000000000002</v>
      </c>
      <c r="I785">
        <v>2.1339999999999999</v>
      </c>
      <c r="J785">
        <v>2.2309999999999999</v>
      </c>
      <c r="K785">
        <v>5.8426946417598824E-2</v>
      </c>
      <c r="L785" s="112">
        <f>VLOOKUP(A785,[3]RESUMEN!$A:$AE,31,1)</f>
        <v>-0.25541802899701282</v>
      </c>
      <c r="M785" s="113">
        <f>VLOOKUP(A785,[3]RESUMEN!$A:$AH,34,1)</f>
        <v>0.95553460024995696</v>
      </c>
      <c r="N785" s="113">
        <f>VLOOKUP(A785,[3]RESUMEN!$A:$AI,35,1)</f>
        <v>0.35005828562647207</v>
      </c>
    </row>
    <row r="786" spans="1:14" x14ac:dyDescent="0.25">
      <c r="A786" s="102">
        <v>43133</v>
      </c>
      <c r="B786">
        <v>23.17</v>
      </c>
      <c r="C786">
        <v>33.128</v>
      </c>
      <c r="D786">
        <v>47.845999999999997</v>
      </c>
      <c r="E786">
        <v>92.691999999999993</v>
      </c>
      <c r="F786">
        <v>1.42</v>
      </c>
      <c r="G786">
        <v>1.8260000000000001</v>
      </c>
      <c r="H786">
        <v>2.0642</v>
      </c>
      <c r="I786">
        <v>2.2090000000000001</v>
      </c>
      <c r="J786">
        <v>2.3540000000000001</v>
      </c>
      <c r="K786">
        <v>6.0443939790013945E-2</v>
      </c>
      <c r="L786" s="112">
        <f>VLOOKUP(A786,[3]RESUMEN!$A:$AE,31,1)</f>
        <v>-0.25541802899701282</v>
      </c>
      <c r="M786" s="113">
        <f>VLOOKUP(A786,[3]RESUMEN!$A:$AH,34,1)</f>
        <v>0.95553460024995696</v>
      </c>
      <c r="N786" s="113">
        <f>VLOOKUP(A786,[3]RESUMEN!$A:$AI,35,1)</f>
        <v>0.35005828562647207</v>
      </c>
    </row>
    <row r="787" spans="1:14" x14ac:dyDescent="0.25">
      <c r="A787" s="102">
        <v>43140</v>
      </c>
      <c r="B787">
        <v>33.615000000000002</v>
      </c>
      <c r="C787">
        <v>46.707000000000001</v>
      </c>
      <c r="D787">
        <v>62.832999999999998</v>
      </c>
      <c r="E787">
        <v>111.02500000000001</v>
      </c>
      <c r="F787">
        <v>1.42</v>
      </c>
      <c r="G787">
        <v>1.8002</v>
      </c>
      <c r="H787">
        <v>1.994</v>
      </c>
      <c r="I787">
        <v>2.1179999999999999</v>
      </c>
      <c r="J787">
        <v>2.2549999999999999</v>
      </c>
      <c r="K787">
        <v>7.1951628538442836E-2</v>
      </c>
      <c r="L787" s="112">
        <f>VLOOKUP(A787,[3]RESUMEN!$A:$AE,31,1)</f>
        <v>-0.25541802899701282</v>
      </c>
      <c r="M787" s="113">
        <f>VLOOKUP(A787,[3]RESUMEN!$A:$AH,34,1)</f>
        <v>0.95553460024995696</v>
      </c>
      <c r="N787" s="113">
        <f>VLOOKUP(A787,[3]RESUMEN!$A:$AI,35,1)</f>
        <v>0.35005828562647207</v>
      </c>
    </row>
    <row r="788" spans="1:14" x14ac:dyDescent="0.25">
      <c r="A788" s="102">
        <v>43147</v>
      </c>
      <c r="B788">
        <v>26.53</v>
      </c>
      <c r="C788">
        <v>36.478000000000002</v>
      </c>
      <c r="D788">
        <v>51.868000000000002</v>
      </c>
      <c r="E788">
        <v>99.388000000000005</v>
      </c>
      <c r="F788">
        <v>1.42</v>
      </c>
      <c r="G788">
        <v>1.8643000000000001</v>
      </c>
      <c r="H788">
        <v>2.0861000000000001</v>
      </c>
      <c r="I788">
        <v>2.2109999999999999</v>
      </c>
      <c r="J788">
        <v>2.3420000000000001</v>
      </c>
      <c r="K788">
        <v>6.4673268062412026E-2</v>
      </c>
      <c r="L788" s="112">
        <f>VLOOKUP(A788,[3]RESUMEN!$A:$AE,31,1)</f>
        <v>-0.25541802899701282</v>
      </c>
      <c r="M788" s="113">
        <f>VLOOKUP(A788,[3]RESUMEN!$A:$AH,34,1)</f>
        <v>0.95553460024995696</v>
      </c>
      <c r="N788" s="113">
        <f>VLOOKUP(A788,[3]RESUMEN!$A:$AI,35,1)</f>
        <v>0.35005828562647207</v>
      </c>
    </row>
    <row r="789" spans="1:14" x14ac:dyDescent="0.25">
      <c r="A789" s="102">
        <v>43154</v>
      </c>
      <c r="B789">
        <v>29.02</v>
      </c>
      <c r="C789">
        <v>38.781999999999996</v>
      </c>
      <c r="D789">
        <v>53.63</v>
      </c>
      <c r="E789">
        <v>101.032</v>
      </c>
      <c r="F789">
        <v>1.42</v>
      </c>
      <c r="G789">
        <v>1.8959999999999999</v>
      </c>
      <c r="H789">
        <v>2.1230000000000002</v>
      </c>
      <c r="I789">
        <v>2.2450000000000001</v>
      </c>
      <c r="J789">
        <v>2.3519999999999999</v>
      </c>
      <c r="K789">
        <v>6.5298412567200703E-2</v>
      </c>
      <c r="L789" s="112">
        <f>VLOOKUP(A789,[3]RESUMEN!$A:$AE,31,1)</f>
        <v>-0.25541802899701282</v>
      </c>
      <c r="M789" s="113">
        <f>VLOOKUP(A789,[3]RESUMEN!$A:$AH,34,1)</f>
        <v>0.95553460024995696</v>
      </c>
      <c r="N789" s="113">
        <f>VLOOKUP(A789,[3]RESUMEN!$A:$AI,35,1)</f>
        <v>0.35005828562647207</v>
      </c>
    </row>
    <row r="790" spans="1:14" x14ac:dyDescent="0.25">
      <c r="A790" s="102">
        <v>43161</v>
      </c>
      <c r="B790">
        <v>30.664999999999999</v>
      </c>
      <c r="C790">
        <v>42.356999999999999</v>
      </c>
      <c r="D790">
        <v>58.444000000000003</v>
      </c>
      <c r="E790">
        <v>105.428</v>
      </c>
      <c r="F790">
        <v>1.42</v>
      </c>
      <c r="G790">
        <v>1.9177999999999999</v>
      </c>
      <c r="H790">
        <v>2.1469999999999998</v>
      </c>
      <c r="I790">
        <v>2.2669999999999999</v>
      </c>
      <c r="J790">
        <v>2.375</v>
      </c>
      <c r="K790">
        <v>6.8457051963387694E-2</v>
      </c>
      <c r="L790" s="112">
        <f>VLOOKUP(A790,[3]RESUMEN!$A:$AE,31,1)</f>
        <v>-0.25541802899701282</v>
      </c>
      <c r="M790" s="113">
        <f>VLOOKUP(A790,[3]RESUMEN!$A:$AH,34,1)</f>
        <v>0.95553460024995696</v>
      </c>
      <c r="N790" s="113">
        <f>VLOOKUP(A790,[3]RESUMEN!$A:$AI,35,1)</f>
        <v>0.35005828562647207</v>
      </c>
    </row>
    <row r="791" spans="1:14" x14ac:dyDescent="0.25">
      <c r="A791" s="102">
        <v>43168</v>
      </c>
      <c r="B791">
        <v>25.847999999999999</v>
      </c>
      <c r="C791">
        <v>35.362000000000002</v>
      </c>
      <c r="D791">
        <v>51.652999999999999</v>
      </c>
      <c r="E791">
        <v>98.988</v>
      </c>
      <c r="F791">
        <v>1.42</v>
      </c>
      <c r="G791">
        <v>1.9350000000000001</v>
      </c>
      <c r="H791">
        <v>2.1779999999999999</v>
      </c>
      <c r="I791">
        <v>2.302</v>
      </c>
      <c r="J791">
        <v>2.4060000000000001</v>
      </c>
      <c r="K791">
        <v>6.4428774061055183E-2</v>
      </c>
      <c r="L791" s="112">
        <f>VLOOKUP(A791,[3]RESUMEN!$A:$AE,31,1)</f>
        <v>-0.25541802899701282</v>
      </c>
      <c r="M791" s="113">
        <f>VLOOKUP(A791,[3]RESUMEN!$A:$AH,34,1)</f>
        <v>0.95553460024995696</v>
      </c>
      <c r="N791" s="113">
        <f>VLOOKUP(A791,[3]RESUMEN!$A:$AI,35,1)</f>
        <v>0.35005828562647207</v>
      </c>
    </row>
    <row r="792" spans="1:14" x14ac:dyDescent="0.25">
      <c r="A792" s="102">
        <v>43175</v>
      </c>
      <c r="B792">
        <v>23.03</v>
      </c>
      <c r="C792">
        <v>32.317999999999998</v>
      </c>
      <c r="D792">
        <v>48.417999999999999</v>
      </c>
      <c r="E792">
        <v>95.456999999999994</v>
      </c>
      <c r="F792">
        <v>1.43</v>
      </c>
      <c r="G792">
        <v>1.9567999999999999</v>
      </c>
      <c r="H792">
        <v>2.1947000000000001</v>
      </c>
      <c r="I792">
        <v>2.3109999999999999</v>
      </c>
      <c r="J792">
        <v>2.3919999999999999</v>
      </c>
      <c r="K792">
        <v>6.2212573324125775E-2</v>
      </c>
      <c r="L792" s="112">
        <f>VLOOKUP(A792,[3]RESUMEN!$A:$AE,31,1)</f>
        <v>-0.25541802899701282</v>
      </c>
      <c r="M792" s="113">
        <f>VLOOKUP(A792,[3]RESUMEN!$A:$AH,34,1)</f>
        <v>0.95553460024995696</v>
      </c>
      <c r="N792" s="113">
        <f>VLOOKUP(A792,[3]RESUMEN!$A:$AI,35,1)</f>
        <v>0.35005828562647207</v>
      </c>
    </row>
    <row r="793" spans="1:14" x14ac:dyDescent="0.25">
      <c r="A793" s="102">
        <v>43182</v>
      </c>
      <c r="B793">
        <v>30.678999999999998</v>
      </c>
      <c r="C793">
        <v>44.597999999999999</v>
      </c>
      <c r="D793">
        <v>64.271000000000001</v>
      </c>
      <c r="E793">
        <v>113.958</v>
      </c>
      <c r="F793">
        <v>1.6800000000000002</v>
      </c>
      <c r="G793">
        <v>1.952</v>
      </c>
      <c r="H793">
        <v>2.1783999999999999</v>
      </c>
      <c r="I793">
        <v>2.2879999999999998</v>
      </c>
      <c r="J793">
        <v>2.3679999999999999</v>
      </c>
      <c r="K793">
        <v>7.3818991598421646E-2</v>
      </c>
      <c r="L793" s="112">
        <f>VLOOKUP(A793,[3]RESUMEN!$A:$AE,31,1)</f>
        <v>-0.25541802899701282</v>
      </c>
      <c r="M793" s="113">
        <f>VLOOKUP(A793,[3]RESUMEN!$A:$AH,34,1)</f>
        <v>0.95553460024995696</v>
      </c>
      <c r="N793" s="113">
        <f>VLOOKUP(A793,[3]RESUMEN!$A:$AI,35,1)</f>
        <v>0.35005828562647207</v>
      </c>
    </row>
    <row r="794" spans="1:14" x14ac:dyDescent="0.25">
      <c r="A794" s="102">
        <v>43189</v>
      </c>
      <c r="B794">
        <v>28.934000000000001</v>
      </c>
      <c r="C794">
        <v>41.798999999999999</v>
      </c>
      <c r="D794">
        <v>58.817999999999998</v>
      </c>
      <c r="E794">
        <v>106.714</v>
      </c>
      <c r="F794">
        <v>1.67</v>
      </c>
      <c r="G794">
        <v>1.968</v>
      </c>
      <c r="H794">
        <v>2.1789999999999998</v>
      </c>
      <c r="I794">
        <v>2.2800000000000002</v>
      </c>
      <c r="J794">
        <v>2.351</v>
      </c>
      <c r="K794">
        <v>6.9273671216147581E-2</v>
      </c>
      <c r="L794" s="112">
        <f>VLOOKUP(A794,[3]RESUMEN!$A:$AE,31,1)</f>
        <v>-0.25541802899701282</v>
      </c>
      <c r="M794" s="113">
        <f>VLOOKUP(A794,[3]RESUMEN!$A:$AH,34,1)</f>
        <v>0.95553460024995696</v>
      </c>
      <c r="N794" s="113">
        <f>VLOOKUP(A794,[3]RESUMEN!$A:$AI,35,1)</f>
        <v>0.35005828562647207</v>
      </c>
    </row>
    <row r="795" spans="1:14" x14ac:dyDescent="0.25">
      <c r="A795" s="102">
        <v>43196</v>
      </c>
      <c r="B795">
        <v>27.215</v>
      </c>
      <c r="C795">
        <v>38.957000000000001</v>
      </c>
      <c r="D795">
        <v>55.478000000000002</v>
      </c>
      <c r="E795">
        <v>102.566</v>
      </c>
      <c r="F795">
        <v>1.69</v>
      </c>
      <c r="G795">
        <v>1.9706000000000001</v>
      </c>
      <c r="H795">
        <v>2.1669999999999998</v>
      </c>
      <c r="I795">
        <v>2.2610000000000001</v>
      </c>
      <c r="J795">
        <v>2.33</v>
      </c>
      <c r="K795">
        <v>6.6673671490617537E-2</v>
      </c>
      <c r="L795" s="112">
        <f>VLOOKUP(A795,[3]RESUMEN!$A:$AE,31,1)</f>
        <v>-0.27378823007670638</v>
      </c>
      <c r="M795" s="113">
        <f>VLOOKUP(A795,[3]RESUMEN!$A:$AH,34,1)</f>
        <v>0.81867575364031686</v>
      </c>
      <c r="N795" s="113">
        <f>VLOOKUP(A795,[3]RESUMEN!$A:$AI,35,1)</f>
        <v>0.27244376178180524</v>
      </c>
    </row>
    <row r="796" spans="1:14" x14ac:dyDescent="0.25">
      <c r="A796" s="102">
        <v>43203</v>
      </c>
      <c r="B796">
        <v>26.192</v>
      </c>
      <c r="C796">
        <v>36.527999999999999</v>
      </c>
      <c r="D796">
        <v>53.558</v>
      </c>
      <c r="E796">
        <v>99.549000000000007</v>
      </c>
      <c r="F796">
        <v>1.69</v>
      </c>
      <c r="G796">
        <v>2.0301</v>
      </c>
      <c r="H796">
        <v>2.2480000000000002</v>
      </c>
      <c r="I796">
        <v>2.3460000000000001</v>
      </c>
      <c r="J796">
        <v>2.4039999999999999</v>
      </c>
      <c r="K796">
        <v>6.4772898134595969E-2</v>
      </c>
      <c r="L796" s="112">
        <f>VLOOKUP(A796,[3]RESUMEN!$A:$AE,31,1)</f>
        <v>-0.27378823007670638</v>
      </c>
      <c r="M796" s="113">
        <f>VLOOKUP(A796,[3]RESUMEN!$A:$AH,34,1)</f>
        <v>0.81867575364031686</v>
      </c>
      <c r="N796" s="113">
        <f>VLOOKUP(A796,[3]RESUMEN!$A:$AI,35,1)</f>
        <v>0.27244376178180524</v>
      </c>
    </row>
    <row r="797" spans="1:14" x14ac:dyDescent="0.25">
      <c r="A797" s="102">
        <v>43210</v>
      </c>
      <c r="B797">
        <v>26.576999999999998</v>
      </c>
      <c r="C797">
        <v>36.76</v>
      </c>
      <c r="D797">
        <v>53.728999999999999</v>
      </c>
      <c r="E797">
        <v>100.584</v>
      </c>
      <c r="F797">
        <v>1.7</v>
      </c>
      <c r="G797">
        <v>2.0804999999999998</v>
      </c>
      <c r="H797">
        <v>2.3247999999999998</v>
      </c>
      <c r="I797">
        <v>2.4409999999999998</v>
      </c>
      <c r="J797">
        <v>2.524</v>
      </c>
      <c r="K797">
        <v>6.5398971630879488E-2</v>
      </c>
      <c r="L797" s="112">
        <f>VLOOKUP(A797,[3]RESUMEN!$A:$AE,31,1)</f>
        <v>-0.27378823007670638</v>
      </c>
      <c r="M797" s="113">
        <f>VLOOKUP(A797,[3]RESUMEN!$A:$AH,34,1)</f>
        <v>0.81867575364031686</v>
      </c>
      <c r="N797" s="113">
        <f>VLOOKUP(A797,[3]RESUMEN!$A:$AI,35,1)</f>
        <v>0.27244376178180524</v>
      </c>
    </row>
    <row r="798" spans="1:14" x14ac:dyDescent="0.25">
      <c r="A798" s="102">
        <v>43217</v>
      </c>
      <c r="B798">
        <v>29.754999999999999</v>
      </c>
      <c r="C798">
        <v>42.511000000000003</v>
      </c>
      <c r="D798">
        <v>58.651000000000003</v>
      </c>
      <c r="E798">
        <v>105.10299999999999</v>
      </c>
      <c r="F798">
        <v>1.7</v>
      </c>
      <c r="G798">
        <v>2.1053999999999999</v>
      </c>
      <c r="H798">
        <v>2.3380000000000001</v>
      </c>
      <c r="I798">
        <v>2.448</v>
      </c>
      <c r="J798">
        <v>2.5249999999999999</v>
      </c>
      <c r="K798">
        <v>6.8249823726847847E-2</v>
      </c>
      <c r="L798" s="112">
        <f>VLOOKUP(A798,[3]RESUMEN!$A:$AE,31,1)</f>
        <v>-0.27378823007670638</v>
      </c>
      <c r="M798" s="113">
        <f>VLOOKUP(A798,[3]RESUMEN!$A:$AH,34,1)</f>
        <v>0.81867575364031686</v>
      </c>
      <c r="N798" s="113">
        <f>VLOOKUP(A798,[3]RESUMEN!$A:$AI,35,1)</f>
        <v>0.27244376178180524</v>
      </c>
    </row>
    <row r="799" spans="1:14" x14ac:dyDescent="0.25">
      <c r="A799" s="102">
        <v>43224</v>
      </c>
      <c r="B799">
        <v>30.469000000000001</v>
      </c>
      <c r="C799">
        <v>44.936</v>
      </c>
      <c r="D799">
        <v>61.701999999999998</v>
      </c>
      <c r="E799">
        <v>110.074</v>
      </c>
      <c r="F799">
        <v>1.7</v>
      </c>
      <c r="G799">
        <v>2.1259999999999999</v>
      </c>
      <c r="H799">
        <v>2.3529999999999998</v>
      </c>
      <c r="I799">
        <v>2.4529999999999998</v>
      </c>
      <c r="J799">
        <v>2.52</v>
      </c>
      <c r="K799">
        <v>7.1377092474954829E-2</v>
      </c>
      <c r="L799" s="112">
        <f>VLOOKUP(A799,[3]RESUMEN!$A:$AE,31,1)</f>
        <v>-0.27378823007670638</v>
      </c>
      <c r="M799" s="113">
        <f>VLOOKUP(A799,[3]RESUMEN!$A:$AH,34,1)</f>
        <v>0.81867575364031686</v>
      </c>
      <c r="N799" s="113">
        <f>VLOOKUP(A799,[3]RESUMEN!$A:$AI,35,1)</f>
        <v>0.27244376178180524</v>
      </c>
    </row>
    <row r="800" spans="1:14" x14ac:dyDescent="0.25">
      <c r="A800" s="102">
        <v>43231</v>
      </c>
      <c r="B800">
        <v>29.027000000000001</v>
      </c>
      <c r="C800">
        <v>41.585000000000001</v>
      </c>
      <c r="D800">
        <v>58.975999999999999</v>
      </c>
      <c r="E800">
        <v>107.363</v>
      </c>
      <c r="F800">
        <v>1.7</v>
      </c>
      <c r="G800">
        <v>2.1589999999999998</v>
      </c>
      <c r="H800">
        <v>2.3940000000000001</v>
      </c>
      <c r="I800">
        <v>2.4980000000000002</v>
      </c>
      <c r="J800">
        <v>2.5720000000000001</v>
      </c>
      <c r="K800">
        <v>6.9689171420006968E-2</v>
      </c>
      <c r="L800" s="112">
        <f>VLOOKUP(A800,[3]RESUMEN!$A:$AE,31,1)</f>
        <v>-0.27378823007670638</v>
      </c>
      <c r="M800" s="113">
        <f>VLOOKUP(A800,[3]RESUMEN!$A:$AH,34,1)</f>
        <v>0.81867575364031686</v>
      </c>
      <c r="N800" s="113">
        <f>VLOOKUP(A800,[3]RESUMEN!$A:$AI,35,1)</f>
        <v>0.27244376178180524</v>
      </c>
    </row>
    <row r="801" spans="1:14" x14ac:dyDescent="0.25">
      <c r="A801" s="102">
        <v>43238</v>
      </c>
      <c r="B801">
        <v>37.08</v>
      </c>
      <c r="C801">
        <v>48.24</v>
      </c>
      <c r="D801">
        <v>66.778999999999996</v>
      </c>
      <c r="E801">
        <v>115.622</v>
      </c>
      <c r="F801">
        <v>1.7</v>
      </c>
      <c r="G801">
        <v>2.1768999999999998</v>
      </c>
      <c r="H801">
        <v>2.4215999999999998</v>
      </c>
      <c r="I801">
        <v>2.5380000000000003</v>
      </c>
      <c r="J801">
        <v>2.6240000000000001</v>
      </c>
      <c r="K801">
        <v>7.4828976401073444E-2</v>
      </c>
      <c r="L801" s="112">
        <f>VLOOKUP(A801,[3]RESUMEN!$A:$AE,31,1)</f>
        <v>-0.27378823007670638</v>
      </c>
      <c r="M801" s="113">
        <f>VLOOKUP(A801,[3]RESUMEN!$A:$AH,34,1)</f>
        <v>0.81867575364031686</v>
      </c>
      <c r="N801" s="113">
        <f>VLOOKUP(A801,[3]RESUMEN!$A:$AI,35,1)</f>
        <v>0.27244376178180524</v>
      </c>
    </row>
    <row r="802" spans="1:14" x14ac:dyDescent="0.25">
      <c r="A802" s="102">
        <v>43245</v>
      </c>
      <c r="B802">
        <v>33.093000000000004</v>
      </c>
      <c r="C802">
        <v>44.426000000000002</v>
      </c>
      <c r="D802">
        <v>63.518999999999998</v>
      </c>
      <c r="E802">
        <v>112.026</v>
      </c>
      <c r="F802">
        <v>1.7</v>
      </c>
      <c r="G802">
        <v>2.1120000000000001</v>
      </c>
      <c r="H802">
        <v>2.3260000000000001</v>
      </c>
      <c r="I802">
        <v>2.4239999999999999</v>
      </c>
      <c r="J802">
        <v>2.5060000000000002</v>
      </c>
      <c r="K802">
        <v>7.2600498167361027E-2</v>
      </c>
      <c r="L802" s="112">
        <f>VLOOKUP(A802,[3]RESUMEN!$A:$AE,31,1)</f>
        <v>-0.27378823007670638</v>
      </c>
      <c r="M802" s="113">
        <f>VLOOKUP(A802,[3]RESUMEN!$A:$AH,34,1)</f>
        <v>0.81867575364031686</v>
      </c>
      <c r="N802" s="113">
        <f>VLOOKUP(A802,[3]RESUMEN!$A:$AI,35,1)</f>
        <v>0.27244376178180524</v>
      </c>
    </row>
    <row r="803" spans="1:14" x14ac:dyDescent="0.25">
      <c r="A803" s="102">
        <v>43252</v>
      </c>
      <c r="B803">
        <v>39.494</v>
      </c>
      <c r="C803">
        <v>56.237000000000002</v>
      </c>
      <c r="D803">
        <v>74.87</v>
      </c>
      <c r="E803">
        <v>122.60299999999999</v>
      </c>
      <c r="F803">
        <v>1.7</v>
      </c>
      <c r="G803">
        <v>2.1415999999999999</v>
      </c>
      <c r="H803">
        <v>2.3439999999999999</v>
      </c>
      <c r="I803">
        <v>2.4319999999999999</v>
      </c>
      <c r="J803">
        <v>2.4889999999999999</v>
      </c>
      <c r="K803">
        <v>7.9135760104808495E-2</v>
      </c>
      <c r="L803" s="112">
        <f>VLOOKUP(A803,[3]RESUMEN!$A:$AE,31,1)</f>
        <v>-0.27378823007670638</v>
      </c>
      <c r="M803" s="113">
        <f>VLOOKUP(A803,[3]RESUMEN!$A:$AH,34,1)</f>
        <v>0.81867575364031686</v>
      </c>
      <c r="N803" s="113">
        <f>VLOOKUP(A803,[3]RESUMEN!$A:$AI,35,1)</f>
        <v>0.27244376178180524</v>
      </c>
    </row>
    <row r="804" spans="1:14" x14ac:dyDescent="0.25">
      <c r="A804" s="102">
        <v>43259</v>
      </c>
      <c r="B804">
        <v>39.981999999999999</v>
      </c>
      <c r="C804">
        <v>53.966000000000001</v>
      </c>
      <c r="D804">
        <v>72.855000000000004</v>
      </c>
      <c r="E804">
        <v>121.791</v>
      </c>
      <c r="F804">
        <v>1.7</v>
      </c>
      <c r="G804">
        <v>2.1640000000000001</v>
      </c>
      <c r="H804">
        <v>2.3782000000000001</v>
      </c>
      <c r="I804">
        <v>2.4699999999999998</v>
      </c>
      <c r="J804">
        <v>2.5380000000000003</v>
      </c>
      <c r="K804">
        <v>7.9135760104808495E-2</v>
      </c>
      <c r="L804" s="112">
        <f>VLOOKUP(A804,[3]RESUMEN!$A:$AE,31,1)</f>
        <v>-0.27378823007670638</v>
      </c>
      <c r="M804" s="113">
        <f>VLOOKUP(A804,[3]RESUMEN!$A:$AH,34,1)</f>
        <v>0.81867575364031686</v>
      </c>
      <c r="N804" s="113">
        <f>VLOOKUP(A804,[3]RESUMEN!$A:$AI,35,1)</f>
        <v>0.27244376178180524</v>
      </c>
    </row>
    <row r="805" spans="1:14" x14ac:dyDescent="0.25">
      <c r="A805" s="102">
        <v>43266</v>
      </c>
      <c r="B805">
        <v>43.978000000000002</v>
      </c>
      <c r="C805">
        <v>57.951000000000001</v>
      </c>
      <c r="D805">
        <v>76.343000000000004</v>
      </c>
      <c r="E805">
        <v>126.256</v>
      </c>
      <c r="F805">
        <v>1.9</v>
      </c>
      <c r="G805">
        <v>2.2111999999999998</v>
      </c>
      <c r="H805">
        <v>2.4420000000000002</v>
      </c>
      <c r="I805">
        <v>2.5300000000000002</v>
      </c>
      <c r="J805">
        <v>2.5709999999999997</v>
      </c>
      <c r="K805">
        <v>8.1416752544412607E-2</v>
      </c>
      <c r="L805" s="112">
        <f>VLOOKUP(A805,[3]RESUMEN!$A:$AE,31,1)</f>
        <v>-0.27378823007670638</v>
      </c>
      <c r="M805" s="113">
        <f>VLOOKUP(A805,[3]RESUMEN!$A:$AH,34,1)</f>
        <v>0.81867575364031686</v>
      </c>
      <c r="N805" s="113">
        <f>VLOOKUP(A805,[3]RESUMEN!$A:$AI,35,1)</f>
        <v>0.27244376178180524</v>
      </c>
    </row>
    <row r="806" spans="1:14" x14ac:dyDescent="0.25">
      <c r="A806" s="102">
        <v>43273</v>
      </c>
      <c r="B806">
        <v>42.975999999999999</v>
      </c>
      <c r="C806">
        <v>56.994999999999997</v>
      </c>
      <c r="D806">
        <v>75.36</v>
      </c>
      <c r="E806">
        <v>125.22199999999999</v>
      </c>
      <c r="F806">
        <v>1.92</v>
      </c>
      <c r="G806">
        <v>2.2233000000000001</v>
      </c>
      <c r="H806">
        <v>2.4382999999999999</v>
      </c>
      <c r="I806">
        <v>2.5140000000000002</v>
      </c>
      <c r="J806">
        <v>2.556</v>
      </c>
      <c r="K806">
        <v>8.063633511298085E-2</v>
      </c>
      <c r="L806" s="112">
        <f>VLOOKUP(A806,[3]RESUMEN!$A:$AE,31,1)</f>
        <v>-0.27378823007670638</v>
      </c>
      <c r="M806" s="113">
        <f>VLOOKUP(A806,[3]RESUMEN!$A:$AH,34,1)</f>
        <v>0.81867575364031686</v>
      </c>
      <c r="N806" s="113">
        <f>VLOOKUP(A806,[3]RESUMEN!$A:$AI,35,1)</f>
        <v>0.27244376178180524</v>
      </c>
    </row>
    <row r="807" spans="1:14" x14ac:dyDescent="0.25">
      <c r="A807" s="102">
        <v>43280</v>
      </c>
      <c r="B807">
        <v>42.707000000000001</v>
      </c>
      <c r="C807">
        <v>56.89</v>
      </c>
      <c r="D807">
        <v>75.727000000000004</v>
      </c>
      <c r="E807">
        <v>124.95</v>
      </c>
      <c r="F807">
        <v>1.9100000000000001</v>
      </c>
      <c r="G807">
        <v>2.2181000000000002</v>
      </c>
      <c r="H807">
        <v>2.415</v>
      </c>
      <c r="I807">
        <v>2.4870000000000001</v>
      </c>
      <c r="J807">
        <v>2.5220000000000002</v>
      </c>
      <c r="K807">
        <v>8.063633511298085E-2</v>
      </c>
      <c r="L807" s="112">
        <f>VLOOKUP(A807,[3]RESUMEN!$A:$AE,31,1)</f>
        <v>-0.27378823007670638</v>
      </c>
      <c r="M807" s="113">
        <f>VLOOKUP(A807,[3]RESUMEN!$A:$AH,34,1)</f>
        <v>0.81867575364031686</v>
      </c>
      <c r="N807" s="113">
        <f>VLOOKUP(A807,[3]RESUMEN!$A:$AI,35,1)</f>
        <v>0.27244376178180524</v>
      </c>
    </row>
    <row r="808" spans="1:14" x14ac:dyDescent="0.25">
      <c r="A808" s="102">
        <v>43287</v>
      </c>
      <c r="B808">
        <v>29.559000000000001</v>
      </c>
      <c r="C808">
        <v>43.23</v>
      </c>
      <c r="D808">
        <v>60.923000000000002</v>
      </c>
      <c r="E808">
        <v>108.038</v>
      </c>
      <c r="F808">
        <v>1.9100000000000001</v>
      </c>
      <c r="G808">
        <v>2.2357</v>
      </c>
      <c r="H808">
        <v>2.4220000000000002</v>
      </c>
      <c r="I808">
        <v>2.4809999999999999</v>
      </c>
      <c r="J808">
        <v>2.5019999999999998</v>
      </c>
      <c r="K808">
        <v>7.0094239995865282E-2</v>
      </c>
      <c r="L808" s="112">
        <f>VLOOKUP(A808,[3]RESUMEN!$A:$AE,31,1)</f>
        <v>-0.3052456723811795</v>
      </c>
      <c r="M808" s="113">
        <f>VLOOKUP(A808,[3]RESUMEN!$A:$AH,34,1)</f>
        <v>0.38640093835771988</v>
      </c>
      <c r="N808" s="113">
        <f>VLOOKUP(A808,[3]RESUMEN!$A:$AI,35,1)</f>
        <v>4.057763298827019E-2</v>
      </c>
    </row>
    <row r="809" spans="1:14" x14ac:dyDescent="0.25">
      <c r="A809" s="102">
        <v>43294</v>
      </c>
      <c r="B809">
        <v>31.875</v>
      </c>
      <c r="C809">
        <v>45.283999999999999</v>
      </c>
      <c r="D809">
        <v>63</v>
      </c>
      <c r="E809">
        <v>109.236</v>
      </c>
      <c r="F809">
        <v>1.9100000000000001</v>
      </c>
      <c r="G809">
        <v>2.262</v>
      </c>
      <c r="H809">
        <v>2.4430000000000001</v>
      </c>
      <c r="I809">
        <v>2.4900000000000002</v>
      </c>
      <c r="J809">
        <v>2.5030000000000001</v>
      </c>
      <c r="K809">
        <v>7.0769775908254728E-2</v>
      </c>
      <c r="L809" s="112">
        <f>VLOOKUP(A809,[3]RESUMEN!$A:$AE,31,1)</f>
        <v>-0.3052456723811795</v>
      </c>
      <c r="M809" s="113">
        <f>VLOOKUP(A809,[3]RESUMEN!$A:$AH,34,1)</f>
        <v>0.38640093835771988</v>
      </c>
      <c r="N809" s="113">
        <f>VLOOKUP(A809,[3]RESUMEN!$A:$AI,35,1)</f>
        <v>4.057763298827019E-2</v>
      </c>
    </row>
    <row r="810" spans="1:14" x14ac:dyDescent="0.25">
      <c r="A810" s="102">
        <v>43301</v>
      </c>
      <c r="B810">
        <v>33.982999999999997</v>
      </c>
      <c r="C810">
        <v>47.408000000000001</v>
      </c>
      <c r="D810">
        <v>65.138000000000005</v>
      </c>
      <c r="E810">
        <v>111.241</v>
      </c>
      <c r="F810">
        <v>1.9100000000000001</v>
      </c>
      <c r="G810">
        <v>2.294</v>
      </c>
      <c r="H810">
        <v>2.4843999999999999</v>
      </c>
      <c r="I810">
        <v>2.5380000000000003</v>
      </c>
      <c r="J810">
        <v>2.5720000000000001</v>
      </c>
      <c r="K810">
        <v>7.145156904789729E-2</v>
      </c>
      <c r="L810" s="112">
        <f>VLOOKUP(A810,[3]RESUMEN!$A:$AE,31,1)</f>
        <v>-0.3052456723811795</v>
      </c>
      <c r="M810" s="113">
        <f>VLOOKUP(A810,[3]RESUMEN!$A:$AH,34,1)</f>
        <v>0.38640093835771988</v>
      </c>
      <c r="N810" s="113">
        <f>VLOOKUP(A810,[3]RESUMEN!$A:$AI,35,1)</f>
        <v>4.057763298827019E-2</v>
      </c>
    </row>
    <row r="811" spans="1:14" x14ac:dyDescent="0.25">
      <c r="A811" s="102">
        <v>43308</v>
      </c>
      <c r="B811">
        <v>29.805</v>
      </c>
      <c r="C811">
        <v>42.363999999999997</v>
      </c>
      <c r="D811">
        <v>59.542000000000002</v>
      </c>
      <c r="E811">
        <v>104.25</v>
      </c>
      <c r="F811">
        <v>1.9100000000000001</v>
      </c>
      <c r="G811">
        <v>2.335</v>
      </c>
      <c r="H811">
        <v>2.5449999999999999</v>
      </c>
      <c r="I811">
        <v>2.6109999999999998</v>
      </c>
      <c r="J811">
        <v>2.6360000000000001</v>
      </c>
      <c r="K811">
        <v>6.7699900703036109E-2</v>
      </c>
      <c r="L811" s="112">
        <f>VLOOKUP(A811,[3]RESUMEN!$A:$AE,31,1)</f>
        <v>-0.3052456723811795</v>
      </c>
      <c r="M811" s="113">
        <f>VLOOKUP(A811,[3]RESUMEN!$A:$AH,34,1)</f>
        <v>0.38640093835771988</v>
      </c>
      <c r="N811" s="113">
        <f>VLOOKUP(A811,[3]RESUMEN!$A:$AI,35,1)</f>
        <v>4.057763298827019E-2</v>
      </c>
    </row>
    <row r="812" spans="1:14" x14ac:dyDescent="0.25">
      <c r="A812" s="102">
        <v>43315</v>
      </c>
      <c r="B812">
        <v>29.161000000000001</v>
      </c>
      <c r="C812">
        <v>42.646999999999998</v>
      </c>
      <c r="D812">
        <v>60.548000000000002</v>
      </c>
      <c r="E812">
        <v>104.81</v>
      </c>
      <c r="F812">
        <v>1.9100000000000001</v>
      </c>
      <c r="G812">
        <v>2.331</v>
      </c>
      <c r="H812">
        <v>2.524</v>
      </c>
      <c r="I812">
        <v>2.585</v>
      </c>
      <c r="J812">
        <v>2.617</v>
      </c>
      <c r="K812">
        <v>6.7699900703036109E-2</v>
      </c>
      <c r="L812" s="112">
        <f>VLOOKUP(A812,[3]RESUMEN!$A:$AE,31,1)</f>
        <v>-0.3052456723811795</v>
      </c>
      <c r="M812" s="113">
        <f>VLOOKUP(A812,[3]RESUMEN!$A:$AH,34,1)</f>
        <v>0.38640093835771988</v>
      </c>
      <c r="N812" s="113">
        <f>VLOOKUP(A812,[3]RESUMEN!$A:$AI,35,1)</f>
        <v>4.057763298827019E-2</v>
      </c>
    </row>
    <row r="813" spans="1:14" x14ac:dyDescent="0.25">
      <c r="A813" s="102">
        <v>43322</v>
      </c>
      <c r="B813">
        <v>30.274000000000001</v>
      </c>
      <c r="C813">
        <v>45.83</v>
      </c>
      <c r="D813">
        <v>63.936</v>
      </c>
      <c r="E813">
        <v>110.206</v>
      </c>
      <c r="F813">
        <v>1.9100000000000001</v>
      </c>
      <c r="G813">
        <v>2.3180000000000001</v>
      </c>
      <c r="H813">
        <v>2.4859999999999998</v>
      </c>
      <c r="I813">
        <v>2.5350000000000001</v>
      </c>
      <c r="J813">
        <v>2.5489999999999999</v>
      </c>
      <c r="K813">
        <v>7.144041798380163E-2</v>
      </c>
      <c r="L813" s="112">
        <f>VLOOKUP(A813,[3]RESUMEN!$A:$AE,31,1)</f>
        <v>-0.3052456723811795</v>
      </c>
      <c r="M813" s="113">
        <f>VLOOKUP(A813,[3]RESUMEN!$A:$AH,34,1)</f>
        <v>0.38640093835771988</v>
      </c>
      <c r="N813" s="113">
        <f>VLOOKUP(A813,[3]RESUMEN!$A:$AI,35,1)</f>
        <v>4.057763298827019E-2</v>
      </c>
    </row>
    <row r="814" spans="1:14" x14ac:dyDescent="0.25">
      <c r="A814" s="102">
        <v>43329</v>
      </c>
      <c r="B814">
        <v>33.787999999999997</v>
      </c>
      <c r="C814">
        <v>48.189</v>
      </c>
      <c r="D814">
        <v>65.48</v>
      </c>
      <c r="E814">
        <v>110.956</v>
      </c>
      <c r="F814">
        <v>1.92</v>
      </c>
      <c r="G814">
        <v>2.34</v>
      </c>
      <c r="H814">
        <v>2.5030000000000001</v>
      </c>
      <c r="I814">
        <v>2.5489999999999999</v>
      </c>
      <c r="J814">
        <v>2.5499999999999998</v>
      </c>
      <c r="K814">
        <v>7.144041798380163E-2</v>
      </c>
      <c r="L814" s="112">
        <f>VLOOKUP(A814,[3]RESUMEN!$A:$AE,31,1)</f>
        <v>-0.3052456723811795</v>
      </c>
      <c r="M814" s="113">
        <f>VLOOKUP(A814,[3]RESUMEN!$A:$AH,34,1)</f>
        <v>0.38640093835771988</v>
      </c>
      <c r="N814" s="113">
        <f>VLOOKUP(A814,[3]RESUMEN!$A:$AI,35,1)</f>
        <v>4.057763298827019E-2</v>
      </c>
    </row>
    <row r="815" spans="1:14" x14ac:dyDescent="0.25">
      <c r="A815" s="102">
        <v>43336</v>
      </c>
      <c r="B815">
        <v>34.012</v>
      </c>
      <c r="C815">
        <v>48.862000000000002</v>
      </c>
      <c r="D815">
        <v>65.602000000000004</v>
      </c>
      <c r="E815">
        <v>110.471</v>
      </c>
      <c r="F815">
        <v>1.92</v>
      </c>
      <c r="G815">
        <v>2.3580000000000001</v>
      </c>
      <c r="H815">
        <v>2.504</v>
      </c>
      <c r="I815">
        <v>2.5339999999999998</v>
      </c>
      <c r="J815">
        <v>2.5249999999999999</v>
      </c>
      <c r="K815">
        <v>7.144041798380163E-2</v>
      </c>
      <c r="L815" s="112">
        <f>VLOOKUP(A815,[3]RESUMEN!$A:$AE,31,1)</f>
        <v>-0.3052456723811795</v>
      </c>
      <c r="M815" s="113">
        <f>VLOOKUP(A815,[3]RESUMEN!$A:$AH,34,1)</f>
        <v>0.38640093835771988</v>
      </c>
      <c r="N815" s="113">
        <f>VLOOKUP(A815,[3]RESUMEN!$A:$AI,35,1)</f>
        <v>4.057763298827019E-2</v>
      </c>
    </row>
    <row r="816" spans="1:14" x14ac:dyDescent="0.25">
      <c r="A816" s="102">
        <v>43343</v>
      </c>
      <c r="B816">
        <v>35.006</v>
      </c>
      <c r="C816">
        <v>49.765000000000001</v>
      </c>
      <c r="D816">
        <v>66.679000000000002</v>
      </c>
      <c r="E816">
        <v>111.741</v>
      </c>
      <c r="F816">
        <v>1.9100000000000001</v>
      </c>
      <c r="G816">
        <v>2.383</v>
      </c>
      <c r="H816">
        <v>2.524</v>
      </c>
      <c r="I816">
        <v>2.5529999999999999</v>
      </c>
      <c r="J816">
        <v>2.544</v>
      </c>
      <c r="K816">
        <v>7.2128418118210025E-2</v>
      </c>
      <c r="L816" s="112">
        <f>VLOOKUP(A816,[3]RESUMEN!$A:$AE,31,1)</f>
        <v>-0.3052456723811795</v>
      </c>
      <c r="M816" s="113">
        <f>VLOOKUP(A816,[3]RESUMEN!$A:$AH,34,1)</f>
        <v>0.38640093835771988</v>
      </c>
      <c r="N816" s="113">
        <f>VLOOKUP(A816,[3]RESUMEN!$A:$AI,35,1)</f>
        <v>4.057763298827019E-2</v>
      </c>
    </row>
    <row r="817" spans="1:14" x14ac:dyDescent="0.25">
      <c r="A817" s="102">
        <v>43350</v>
      </c>
      <c r="B817">
        <v>35.753</v>
      </c>
      <c r="C817">
        <v>51.615000000000002</v>
      </c>
      <c r="D817">
        <v>68.902000000000001</v>
      </c>
      <c r="E817">
        <v>114.631</v>
      </c>
      <c r="F817">
        <v>1.92</v>
      </c>
      <c r="G817">
        <v>2.427</v>
      </c>
      <c r="H817">
        <v>2.59</v>
      </c>
      <c r="I817">
        <v>2.63</v>
      </c>
      <c r="J817">
        <v>2.63</v>
      </c>
      <c r="K817">
        <v>7.4179259905891026E-2</v>
      </c>
      <c r="L817" s="112">
        <f>VLOOKUP(A817,[3]RESUMEN!$A:$AE,31,1)</f>
        <v>-0.3052456723811795</v>
      </c>
      <c r="M817" s="113">
        <f>VLOOKUP(A817,[3]RESUMEN!$A:$AH,34,1)</f>
        <v>0.38640093835771988</v>
      </c>
      <c r="N817" s="113">
        <f>VLOOKUP(A817,[3]RESUMEN!$A:$AI,35,1)</f>
        <v>4.057763298827019E-2</v>
      </c>
    </row>
    <row r="818" spans="1:14" x14ac:dyDescent="0.25">
      <c r="A818" s="102">
        <v>43357</v>
      </c>
      <c r="B818">
        <v>29.815000000000001</v>
      </c>
      <c r="C818">
        <v>44.131999999999998</v>
      </c>
      <c r="D818">
        <v>60.710999999999999</v>
      </c>
      <c r="E818">
        <v>105.73</v>
      </c>
      <c r="F818">
        <v>1.92</v>
      </c>
      <c r="G818">
        <v>2.4750000000000001</v>
      </c>
      <c r="H818">
        <v>2.6630000000000003</v>
      </c>
      <c r="I818">
        <v>2.7029999999999998</v>
      </c>
      <c r="J818">
        <v>2.7149999999999999</v>
      </c>
      <c r="K818">
        <v>6.8619804707271137E-2</v>
      </c>
      <c r="L818" s="112">
        <f>VLOOKUP(A818,[3]RESUMEN!$A:$AE,31,1)</f>
        <v>-0.3052456723811795</v>
      </c>
      <c r="M818" s="113">
        <f>VLOOKUP(A818,[3]RESUMEN!$A:$AH,34,1)</f>
        <v>0.38640093835771988</v>
      </c>
      <c r="N818" s="113">
        <f>VLOOKUP(A818,[3]RESUMEN!$A:$AI,35,1)</f>
        <v>4.057763298827019E-2</v>
      </c>
    </row>
    <row r="819" spans="1:14" x14ac:dyDescent="0.25">
      <c r="A819" s="102">
        <v>43364</v>
      </c>
      <c r="B819">
        <v>33.374000000000002</v>
      </c>
      <c r="C819">
        <v>49.54</v>
      </c>
      <c r="D819">
        <v>66.98</v>
      </c>
      <c r="E819">
        <v>112.893</v>
      </c>
      <c r="F819">
        <v>1.92</v>
      </c>
      <c r="G819">
        <v>2.4889999999999999</v>
      </c>
      <c r="H819">
        <v>2.6720000000000002</v>
      </c>
      <c r="I819">
        <v>2.7290000000000001</v>
      </c>
      <c r="J819">
        <v>2.7519999999999998</v>
      </c>
      <c r="K819">
        <v>7.3103663058316948E-2</v>
      </c>
      <c r="L819" s="112">
        <f>VLOOKUP(A819,[3]RESUMEN!$A:$AE,31,1)</f>
        <v>-0.3052456723811795</v>
      </c>
      <c r="M819" s="113">
        <f>VLOOKUP(A819,[3]RESUMEN!$A:$AH,34,1)</f>
        <v>0.38640093835771988</v>
      </c>
      <c r="N819" s="113">
        <f>VLOOKUP(A819,[3]RESUMEN!$A:$AI,35,1)</f>
        <v>4.057763298827019E-2</v>
      </c>
    </row>
    <row r="820" spans="1:14" x14ac:dyDescent="0.25">
      <c r="A820" s="102">
        <v>43371</v>
      </c>
      <c r="B820">
        <v>30.673000000000002</v>
      </c>
      <c r="C820">
        <v>46.844000000000001</v>
      </c>
      <c r="D820">
        <v>64.102000000000004</v>
      </c>
      <c r="E820">
        <v>110.101</v>
      </c>
      <c r="F820">
        <v>2.1800000000000002</v>
      </c>
      <c r="G820">
        <v>2.5</v>
      </c>
      <c r="H820">
        <v>2.6779999999999999</v>
      </c>
      <c r="I820">
        <v>2.73</v>
      </c>
      <c r="J820">
        <v>2.7450000000000001</v>
      </c>
      <c r="K820">
        <v>7.1369376696158615E-2</v>
      </c>
      <c r="L820" s="112">
        <f>VLOOKUP(A820,[3]RESUMEN!$A:$AE,31,1)</f>
        <v>-0.3052456723811795</v>
      </c>
      <c r="M820" s="113">
        <f>VLOOKUP(A820,[3]RESUMEN!$A:$AH,34,1)</f>
        <v>0.38640093835771988</v>
      </c>
      <c r="N820" s="113">
        <f>VLOOKUP(A820,[3]RESUMEN!$A:$AI,35,1)</f>
        <v>4.057763298827019E-2</v>
      </c>
    </row>
    <row r="821" spans="1:14" x14ac:dyDescent="0.25">
      <c r="A821" s="102">
        <v>43378</v>
      </c>
      <c r="B821">
        <v>38.551000000000002</v>
      </c>
      <c r="C821">
        <v>55.194000000000003</v>
      </c>
      <c r="D821">
        <v>71.954999999999998</v>
      </c>
      <c r="E821">
        <v>119.306</v>
      </c>
      <c r="F821">
        <v>2.1800000000000002</v>
      </c>
      <c r="G821">
        <v>2.556</v>
      </c>
      <c r="H821">
        <v>2.7730000000000001</v>
      </c>
      <c r="I821">
        <v>2.8439999999999999</v>
      </c>
      <c r="J821">
        <v>2.8759999999999999</v>
      </c>
      <c r="K821">
        <v>7.7091828261293127E-2</v>
      </c>
      <c r="L821" s="112">
        <f>VLOOKUP(A821,[3]RESUMEN!$A:$AE,31,1)</f>
        <v>-0.43400436598004444</v>
      </c>
      <c r="M821" s="113">
        <f>VLOOKUP(A821,[3]RESUMEN!$A:$AH,34,1)</f>
        <v>0.59727358906466121</v>
      </c>
      <c r="N821" s="113">
        <f>VLOOKUP(A821,[3]RESUMEN!$A:$AI,35,1)</f>
        <v>8.1634611542308388E-2</v>
      </c>
    </row>
    <row r="822" spans="1:14" x14ac:dyDescent="0.25">
      <c r="A822" s="102">
        <v>43385</v>
      </c>
      <c r="B822">
        <v>40.984999999999999</v>
      </c>
      <c r="C822">
        <v>57.872999999999998</v>
      </c>
      <c r="D822">
        <v>74.832999999999998</v>
      </c>
      <c r="E822">
        <v>121.3</v>
      </c>
      <c r="F822">
        <v>2.1800000000000002</v>
      </c>
      <c r="G822">
        <v>2.5449999999999999</v>
      </c>
      <c r="H822">
        <v>2.7330000000000001</v>
      </c>
      <c r="I822">
        <v>2.7890000000000001</v>
      </c>
      <c r="J822">
        <v>2.8090000000000002</v>
      </c>
      <c r="K822">
        <v>7.7831939391650673E-2</v>
      </c>
      <c r="L822" s="112">
        <f>VLOOKUP(A822,[3]RESUMEN!$A:$AE,31,1)</f>
        <v>-0.43400436598004444</v>
      </c>
      <c r="M822" s="113">
        <f>VLOOKUP(A822,[3]RESUMEN!$A:$AH,34,1)</f>
        <v>0.59727358906466121</v>
      </c>
      <c r="N822" s="113">
        <f>VLOOKUP(A822,[3]RESUMEN!$A:$AI,35,1)</f>
        <v>8.1634611542308388E-2</v>
      </c>
    </row>
    <row r="823" spans="1:14" x14ac:dyDescent="0.25">
      <c r="A823" s="102">
        <v>43392</v>
      </c>
      <c r="B823">
        <v>43.627000000000002</v>
      </c>
      <c r="C823">
        <v>60.256</v>
      </c>
      <c r="D823">
        <v>77.489999999999995</v>
      </c>
      <c r="E823">
        <v>125.03400000000001</v>
      </c>
      <c r="F823">
        <v>2.19</v>
      </c>
      <c r="G823">
        <v>2.5789999999999997</v>
      </c>
      <c r="H823">
        <v>2.7629999999999999</v>
      </c>
      <c r="I823">
        <v>2.8149999999999999</v>
      </c>
      <c r="J823">
        <v>2.827</v>
      </c>
      <c r="K823">
        <v>8.062875190309593E-2</v>
      </c>
      <c r="L823" s="112">
        <f>VLOOKUP(A823,[3]RESUMEN!$A:$AE,31,1)</f>
        <v>-0.43400436598004444</v>
      </c>
      <c r="M823" s="113">
        <f>VLOOKUP(A823,[3]RESUMEN!$A:$AH,34,1)</f>
        <v>0.59727358906466121</v>
      </c>
      <c r="N823" s="113">
        <f>VLOOKUP(A823,[3]RESUMEN!$A:$AI,35,1)</f>
        <v>8.1634611542308388E-2</v>
      </c>
    </row>
    <row r="824" spans="1:14" x14ac:dyDescent="0.25">
      <c r="A824" s="102">
        <v>43399</v>
      </c>
      <c r="B824">
        <v>46.518000000000001</v>
      </c>
      <c r="C824">
        <v>61.442</v>
      </c>
      <c r="D824">
        <v>79.228999999999999</v>
      </c>
      <c r="E824">
        <v>127.01900000000001</v>
      </c>
      <c r="F824">
        <v>2.2000000000000002</v>
      </c>
      <c r="G824">
        <v>2.5419999999999998</v>
      </c>
      <c r="H824">
        <v>2.6760000000000002</v>
      </c>
      <c r="I824">
        <v>2.7</v>
      </c>
      <c r="J824">
        <v>2.7039999999999997</v>
      </c>
      <c r="K824">
        <v>8.1401299044485564E-2</v>
      </c>
      <c r="L824" s="112">
        <f>VLOOKUP(A824,[3]RESUMEN!$A:$AE,31,1)</f>
        <v>-0.43400436598004444</v>
      </c>
      <c r="M824" s="113">
        <f>VLOOKUP(A824,[3]RESUMEN!$A:$AH,34,1)</f>
        <v>0.59727358906466121</v>
      </c>
      <c r="N824" s="113">
        <f>VLOOKUP(A824,[3]RESUMEN!$A:$AI,35,1)</f>
        <v>8.1634611542308388E-2</v>
      </c>
    </row>
    <row r="825" spans="1:14" x14ac:dyDescent="0.25">
      <c r="A825" s="102">
        <v>43406</v>
      </c>
      <c r="B825">
        <v>44.427</v>
      </c>
      <c r="C825">
        <v>58.844999999999999</v>
      </c>
      <c r="D825">
        <v>76.63</v>
      </c>
      <c r="E825">
        <v>123.839</v>
      </c>
      <c r="F825">
        <v>2.19</v>
      </c>
      <c r="G825">
        <v>2.5920000000000001</v>
      </c>
      <c r="H825">
        <v>2.7589999999999999</v>
      </c>
      <c r="I825">
        <v>2.8050000000000002</v>
      </c>
      <c r="J825">
        <v>2.8260000000000001</v>
      </c>
      <c r="K825">
        <v>7.9882660427658347E-2</v>
      </c>
      <c r="L825" s="112">
        <f>VLOOKUP(A825,[3]RESUMEN!$A:$AE,31,1)</f>
        <v>-0.43400436598004444</v>
      </c>
      <c r="M825" s="113">
        <f>VLOOKUP(A825,[3]RESUMEN!$A:$AH,34,1)</f>
        <v>0.59727358906466121</v>
      </c>
      <c r="N825" s="113">
        <f>VLOOKUP(A825,[3]RESUMEN!$A:$AI,35,1)</f>
        <v>8.1634611542308388E-2</v>
      </c>
    </row>
    <row r="826" spans="1:14" x14ac:dyDescent="0.25">
      <c r="A826" s="102">
        <v>43413</v>
      </c>
      <c r="B826">
        <v>41.551000000000002</v>
      </c>
      <c r="C826">
        <v>55.545000000000002</v>
      </c>
      <c r="D826">
        <v>72.739999999999995</v>
      </c>
      <c r="E826">
        <v>119.874</v>
      </c>
      <c r="F826">
        <v>2.19</v>
      </c>
      <c r="G826">
        <v>2.6269999999999998</v>
      </c>
      <c r="H826">
        <v>2.7890000000000001</v>
      </c>
      <c r="I826">
        <v>2.827</v>
      </c>
      <c r="J826">
        <v>2.835</v>
      </c>
      <c r="K826">
        <v>7.7437489614503918E-2</v>
      </c>
      <c r="L826" s="112">
        <f>VLOOKUP(A826,[3]RESUMEN!$A:$AE,31,1)</f>
        <v>-0.43400436598004444</v>
      </c>
      <c r="M826" s="113">
        <f>VLOOKUP(A826,[3]RESUMEN!$A:$AH,34,1)</f>
        <v>0.59727358906466121</v>
      </c>
      <c r="N826" s="113">
        <f>VLOOKUP(A826,[3]RESUMEN!$A:$AI,35,1)</f>
        <v>8.1634611542308388E-2</v>
      </c>
    </row>
    <row r="827" spans="1:14" x14ac:dyDescent="0.25">
      <c r="A827" s="102">
        <v>43420</v>
      </c>
      <c r="B827">
        <v>46.593000000000004</v>
      </c>
      <c r="C827">
        <v>61.274999999999999</v>
      </c>
      <c r="D827">
        <v>79.433999999999997</v>
      </c>
      <c r="E827">
        <v>128.744</v>
      </c>
      <c r="F827">
        <v>2.2000000000000002</v>
      </c>
      <c r="G827">
        <v>2.556</v>
      </c>
      <c r="H827">
        <v>2.657</v>
      </c>
      <c r="I827">
        <v>2.6749999999999998</v>
      </c>
      <c r="J827">
        <v>2.6760000000000002</v>
      </c>
      <c r="K827">
        <v>8.2933473318771211E-2</v>
      </c>
      <c r="L827" s="112">
        <f>VLOOKUP(A827,[3]RESUMEN!$A:$AE,31,1)</f>
        <v>-0.43400436598004444</v>
      </c>
      <c r="M827" s="113">
        <f>VLOOKUP(A827,[3]RESUMEN!$A:$AH,34,1)</f>
        <v>0.59727358906466121</v>
      </c>
      <c r="N827" s="113">
        <f>VLOOKUP(A827,[3]RESUMEN!$A:$AI,35,1)</f>
        <v>8.1634611542308388E-2</v>
      </c>
    </row>
    <row r="828" spans="1:14" x14ac:dyDescent="0.25">
      <c r="A828" s="102">
        <v>43427</v>
      </c>
      <c r="B828">
        <v>59.518999999999998</v>
      </c>
      <c r="C828">
        <v>77.59</v>
      </c>
      <c r="D828">
        <v>97.233999999999995</v>
      </c>
      <c r="E828">
        <v>147.71899999999999</v>
      </c>
      <c r="F828">
        <v>2.2000000000000002</v>
      </c>
      <c r="G828">
        <v>2.5629999999999997</v>
      </c>
      <c r="H828">
        <v>2.6560000000000001</v>
      </c>
      <c r="I828">
        <v>2.67</v>
      </c>
      <c r="J828">
        <v>2.6680000000000001</v>
      </c>
      <c r="K828">
        <v>9.454127474207541E-2</v>
      </c>
      <c r="L828" s="112">
        <f>VLOOKUP(A828,[3]RESUMEN!$A:$AE,31,1)</f>
        <v>-0.43400436598004444</v>
      </c>
      <c r="M828" s="113">
        <f>VLOOKUP(A828,[3]RESUMEN!$A:$AH,34,1)</f>
        <v>0.59727358906466121</v>
      </c>
      <c r="N828" s="113">
        <f>VLOOKUP(A828,[3]RESUMEN!$A:$AI,35,1)</f>
        <v>8.1634611542308388E-2</v>
      </c>
    </row>
    <row r="829" spans="1:14" x14ac:dyDescent="0.25">
      <c r="A829" s="102">
        <v>43434</v>
      </c>
      <c r="B829">
        <v>58.847999999999999</v>
      </c>
      <c r="C829">
        <v>75.480999999999995</v>
      </c>
      <c r="D829">
        <v>93.379000000000005</v>
      </c>
      <c r="E829">
        <v>141.16800000000001</v>
      </c>
      <c r="F829">
        <v>2.2000000000000002</v>
      </c>
      <c r="G829">
        <v>2.5602</v>
      </c>
      <c r="H829">
        <v>2.6288</v>
      </c>
      <c r="I829">
        <v>2.6360000000000001</v>
      </c>
      <c r="J829">
        <v>2.6259999999999999</v>
      </c>
      <c r="K829">
        <v>9.0509632842183718E-2</v>
      </c>
      <c r="L829" s="112">
        <f>VLOOKUP(A829,[3]RESUMEN!$A:$AE,31,1)</f>
        <v>-0.43400436598004444</v>
      </c>
      <c r="M829" s="113">
        <f>VLOOKUP(A829,[3]RESUMEN!$A:$AH,34,1)</f>
        <v>0.59727358906466121</v>
      </c>
      <c r="N829" s="113">
        <f>VLOOKUP(A829,[3]RESUMEN!$A:$AI,35,1)</f>
        <v>8.1634611542308388E-2</v>
      </c>
    </row>
    <row r="830" spans="1:14" x14ac:dyDescent="0.25">
      <c r="A830" s="102">
        <v>43441</v>
      </c>
      <c r="B830">
        <v>56.054000000000002</v>
      </c>
      <c r="C830">
        <v>71.911000000000001</v>
      </c>
      <c r="D830">
        <v>89.775000000000006</v>
      </c>
      <c r="E830">
        <v>136.93100000000001</v>
      </c>
      <c r="F830">
        <v>2.19</v>
      </c>
      <c r="G830">
        <v>2.5049999999999999</v>
      </c>
      <c r="H830">
        <v>2.512</v>
      </c>
      <c r="I830">
        <v>2.4820000000000002</v>
      </c>
      <c r="J830">
        <v>2.4689999999999999</v>
      </c>
      <c r="K830">
        <v>8.7918892330110743E-2</v>
      </c>
      <c r="L830" s="112">
        <f>VLOOKUP(A830,[3]RESUMEN!$A:$AE,31,1)</f>
        <v>-0.43400436598004444</v>
      </c>
      <c r="M830" s="113">
        <f>VLOOKUP(A830,[3]RESUMEN!$A:$AH,34,1)</f>
        <v>0.59727358906466121</v>
      </c>
      <c r="N830" s="113">
        <f>VLOOKUP(A830,[3]RESUMEN!$A:$AI,35,1)</f>
        <v>8.1634611542308388E-2</v>
      </c>
    </row>
    <row r="831" spans="1:14" x14ac:dyDescent="0.25">
      <c r="A831" s="102">
        <v>43448</v>
      </c>
      <c r="B831">
        <v>52.576000000000001</v>
      </c>
      <c r="C831">
        <v>67.546000000000006</v>
      </c>
      <c r="D831">
        <v>84.403999999999996</v>
      </c>
      <c r="E831">
        <v>131.54400000000001</v>
      </c>
      <c r="F831">
        <v>2.19</v>
      </c>
      <c r="G831">
        <v>2.5339999999999998</v>
      </c>
      <c r="H831">
        <v>2.548</v>
      </c>
      <c r="I831">
        <v>2.5179999999999998</v>
      </c>
      <c r="J831">
        <v>2.5049999999999999</v>
      </c>
      <c r="K831">
        <v>8.4615693970961137E-2</v>
      </c>
      <c r="L831" s="112">
        <f>VLOOKUP(A831,[3]RESUMEN!$A:$AE,31,1)</f>
        <v>-0.43400436598004444</v>
      </c>
      <c r="M831" s="113">
        <f>VLOOKUP(A831,[3]RESUMEN!$A:$AH,34,1)</f>
        <v>0.59727358906466121</v>
      </c>
      <c r="N831" s="113">
        <f>VLOOKUP(A831,[3]RESUMEN!$A:$AI,35,1)</f>
        <v>8.1634611542308388E-2</v>
      </c>
    </row>
    <row r="832" spans="1:14" x14ac:dyDescent="0.25">
      <c r="A832" s="102">
        <v>43455</v>
      </c>
      <c r="B832">
        <v>65.680000000000007</v>
      </c>
      <c r="C832">
        <v>82.441999999999993</v>
      </c>
      <c r="D832">
        <v>101.20099999999999</v>
      </c>
      <c r="E832">
        <v>152.309</v>
      </c>
      <c r="F832">
        <v>2.4</v>
      </c>
      <c r="G832">
        <v>2.4962</v>
      </c>
      <c r="H832">
        <v>2.4620000000000002</v>
      </c>
      <c r="I832">
        <v>2.4180000000000001</v>
      </c>
      <c r="J832">
        <v>2.4159999999999999</v>
      </c>
      <c r="K832">
        <v>9.7317548614099136E-2</v>
      </c>
      <c r="L832" s="112">
        <f>VLOOKUP(A832,[3]RESUMEN!$A:$AE,31,1)</f>
        <v>-0.43400436598004444</v>
      </c>
      <c r="M832" s="113">
        <f>VLOOKUP(A832,[3]RESUMEN!$A:$AH,34,1)</f>
        <v>0.59727358906466121</v>
      </c>
      <c r="N832" s="113">
        <f>VLOOKUP(A832,[3]RESUMEN!$A:$AI,35,1)</f>
        <v>8.1634611542308388E-2</v>
      </c>
    </row>
    <row r="833" spans="1:14" x14ac:dyDescent="0.25">
      <c r="A833" s="102">
        <v>43462</v>
      </c>
      <c r="B833">
        <v>74.694999999999993</v>
      </c>
      <c r="C833">
        <v>91.153999999999996</v>
      </c>
      <c r="D833">
        <v>110.47</v>
      </c>
      <c r="E833">
        <v>158.90100000000001</v>
      </c>
      <c r="F833">
        <v>2.4</v>
      </c>
      <c r="G833">
        <v>2.44</v>
      </c>
      <c r="H833">
        <v>2.359</v>
      </c>
      <c r="I833">
        <v>2.3090000000000002</v>
      </c>
      <c r="J833">
        <v>2.3119999999999998</v>
      </c>
      <c r="K833">
        <v>0.10125814996859739</v>
      </c>
      <c r="L833" s="112">
        <f>VLOOKUP(A833,[3]RESUMEN!$A:$AE,31,1)</f>
        <v>-0.43400436598004444</v>
      </c>
      <c r="M833" s="113">
        <f>VLOOKUP(A833,[3]RESUMEN!$A:$AH,34,1)</f>
        <v>0.59727358906466121</v>
      </c>
      <c r="N833" s="113">
        <f>VLOOKUP(A833,[3]RESUMEN!$A:$AI,35,1)</f>
        <v>8.1634611542308388E-2</v>
      </c>
    </row>
    <row r="834" spans="1:14" x14ac:dyDescent="0.25">
      <c r="A834" s="102">
        <v>43469</v>
      </c>
      <c r="B834">
        <v>66.504000000000005</v>
      </c>
      <c r="C834">
        <v>81.483999999999995</v>
      </c>
      <c r="D834">
        <v>101.485</v>
      </c>
      <c r="E834">
        <v>144.309</v>
      </c>
      <c r="F834">
        <v>2.4</v>
      </c>
      <c r="G834">
        <v>2.4159999999999999</v>
      </c>
      <c r="H834">
        <v>2.3199999999999998</v>
      </c>
      <c r="I834">
        <v>2.2610000000000001</v>
      </c>
      <c r="J834">
        <v>2.2599999999999998</v>
      </c>
      <c r="K834">
        <v>9.2344844299603657E-2</v>
      </c>
      <c r="L834" s="112">
        <f>VLOOKUP(A834,[3]RESUMEN!$A:$AE,31,1)</f>
        <v>-0.28426561821781682</v>
      </c>
      <c r="M834" s="113">
        <f>VLOOKUP(A834,[3]RESUMEN!$A:$AH,34,1)</f>
        <v>-0.23706092915291765</v>
      </c>
      <c r="N834" s="113">
        <f>VLOOKUP(A834,[3]RESUMEN!$A:$AI,35,1)</f>
        <v>-0.26066327368536724</v>
      </c>
    </row>
    <row r="835" spans="1:14" x14ac:dyDescent="0.25">
      <c r="A835" s="102">
        <v>43476</v>
      </c>
      <c r="B835">
        <v>55.48</v>
      </c>
      <c r="C835">
        <v>70.888999999999996</v>
      </c>
      <c r="D835">
        <v>89.247</v>
      </c>
      <c r="E835">
        <v>135.34</v>
      </c>
      <c r="F835">
        <v>2.4</v>
      </c>
      <c r="G835">
        <v>2.456</v>
      </c>
      <c r="H835">
        <v>2.387</v>
      </c>
      <c r="I835">
        <v>2.327</v>
      </c>
      <c r="J835">
        <v>2.3050000000000002</v>
      </c>
      <c r="K835">
        <v>8.6930177773299366E-2</v>
      </c>
      <c r="L835" s="112">
        <f>VLOOKUP(A835,[3]RESUMEN!$A:$AE,31,1)</f>
        <v>-0.28426561821781682</v>
      </c>
      <c r="M835" s="113">
        <f>VLOOKUP(A835,[3]RESUMEN!$A:$AH,34,1)</f>
        <v>-0.23706092915291765</v>
      </c>
      <c r="N835" s="113">
        <f>VLOOKUP(A835,[3]RESUMEN!$A:$AI,35,1)</f>
        <v>-0.26066327368536724</v>
      </c>
    </row>
    <row r="836" spans="1:14" x14ac:dyDescent="0.25">
      <c r="A836" s="102">
        <v>43483</v>
      </c>
      <c r="B836">
        <v>51.896000000000001</v>
      </c>
      <c r="C836">
        <v>66.265000000000001</v>
      </c>
      <c r="D836">
        <v>84.620999999999995</v>
      </c>
      <c r="E836">
        <v>126.774</v>
      </c>
      <c r="F836">
        <v>2.4</v>
      </c>
      <c r="G836">
        <v>2.4830000000000001</v>
      </c>
      <c r="H836">
        <v>2.4580000000000002</v>
      </c>
      <c r="I836">
        <v>2.4140000000000001</v>
      </c>
      <c r="J836">
        <v>2.4</v>
      </c>
      <c r="K836">
        <v>8.162450764303919E-2</v>
      </c>
      <c r="L836" s="112">
        <f>VLOOKUP(A836,[3]RESUMEN!$A:$AE,31,1)</f>
        <v>-0.28426561821781682</v>
      </c>
      <c r="M836" s="113">
        <f>VLOOKUP(A836,[3]RESUMEN!$A:$AH,34,1)</f>
        <v>-0.23706092915291765</v>
      </c>
      <c r="N836" s="113">
        <f>VLOOKUP(A836,[3]RESUMEN!$A:$AI,35,1)</f>
        <v>-0.26066327368536724</v>
      </c>
    </row>
    <row r="837" spans="1:14" x14ac:dyDescent="0.25">
      <c r="A837" s="102">
        <v>43490</v>
      </c>
      <c r="B837">
        <v>50.168999999999997</v>
      </c>
      <c r="C837">
        <v>66.268000000000001</v>
      </c>
      <c r="D837">
        <v>84.489000000000004</v>
      </c>
      <c r="E837">
        <v>129.041</v>
      </c>
      <c r="F837">
        <v>2.4</v>
      </c>
      <c r="G837">
        <v>2.4779999999999998</v>
      </c>
      <c r="H837">
        <v>2.44</v>
      </c>
      <c r="I837">
        <v>2.391</v>
      </c>
      <c r="J837">
        <v>2.3759999999999999</v>
      </c>
      <c r="K837">
        <v>8.305521977089847E-2</v>
      </c>
      <c r="L837" s="112">
        <f>VLOOKUP(A837,[3]RESUMEN!$A:$AE,31,1)</f>
        <v>-0.28426561821781682</v>
      </c>
      <c r="M837" s="113">
        <f>VLOOKUP(A837,[3]RESUMEN!$A:$AH,34,1)</f>
        <v>-0.23706092915291765</v>
      </c>
      <c r="N837" s="113">
        <f>VLOOKUP(A837,[3]RESUMEN!$A:$AI,35,1)</f>
        <v>-0.26066327368536724</v>
      </c>
    </row>
    <row r="838" spans="1:14" x14ac:dyDescent="0.25">
      <c r="A838" s="102">
        <v>43497</v>
      </c>
      <c r="B838">
        <v>46.386000000000003</v>
      </c>
      <c r="C838">
        <v>61.198</v>
      </c>
      <c r="D838">
        <v>78.100999999999999</v>
      </c>
      <c r="E838">
        <v>123.346</v>
      </c>
      <c r="F838">
        <v>2.4</v>
      </c>
      <c r="G838">
        <v>2.419</v>
      </c>
      <c r="H838">
        <v>2.3519000000000001</v>
      </c>
      <c r="I838">
        <v>2.302</v>
      </c>
      <c r="J838">
        <v>2.2869999999999999</v>
      </c>
      <c r="K838">
        <v>7.9552526838265081E-2</v>
      </c>
      <c r="L838" s="112">
        <f>VLOOKUP(A838,[3]RESUMEN!$A:$AE,31,1)</f>
        <v>-0.28426561821781682</v>
      </c>
      <c r="M838" s="113">
        <f>VLOOKUP(A838,[3]RESUMEN!$A:$AH,34,1)</f>
        <v>-0.23706092915291765</v>
      </c>
      <c r="N838" s="113">
        <f>VLOOKUP(A838,[3]RESUMEN!$A:$AI,35,1)</f>
        <v>-0.26066327368536724</v>
      </c>
    </row>
    <row r="839" spans="1:14" x14ac:dyDescent="0.25">
      <c r="A839" s="102">
        <v>43504</v>
      </c>
      <c r="B839">
        <v>46.344999999999999</v>
      </c>
      <c r="C839">
        <v>61.716999999999999</v>
      </c>
      <c r="D839">
        <v>78.093000000000004</v>
      </c>
      <c r="E839">
        <v>121.80800000000001</v>
      </c>
      <c r="F839">
        <v>2.4</v>
      </c>
      <c r="G839">
        <v>2.407</v>
      </c>
      <c r="H839">
        <v>2.3180000000000001</v>
      </c>
      <c r="I839">
        <v>2.2599999999999998</v>
      </c>
      <c r="J839">
        <v>2.2349999999999999</v>
      </c>
      <c r="K839">
        <v>7.8789202408871106E-2</v>
      </c>
      <c r="L839" s="112">
        <f>VLOOKUP(A839,[3]RESUMEN!$A:$AE,31,1)</f>
        <v>-0.28426561821781682</v>
      </c>
      <c r="M839" s="113">
        <f>VLOOKUP(A839,[3]RESUMEN!$A:$AH,34,1)</f>
        <v>-0.23706092915291765</v>
      </c>
      <c r="N839" s="113">
        <f>VLOOKUP(A839,[3]RESUMEN!$A:$AI,35,1)</f>
        <v>-0.26066327368536724</v>
      </c>
    </row>
    <row r="840" spans="1:14" x14ac:dyDescent="0.25">
      <c r="A840" s="102">
        <v>43511</v>
      </c>
      <c r="B840">
        <v>44.957000000000001</v>
      </c>
      <c r="C840">
        <v>59.828000000000003</v>
      </c>
      <c r="D840">
        <v>75.563999999999993</v>
      </c>
      <c r="E840">
        <v>118.468</v>
      </c>
      <c r="F840">
        <v>2.4</v>
      </c>
      <c r="G840">
        <v>2.423</v>
      </c>
      <c r="H840">
        <v>2.359</v>
      </c>
      <c r="I840">
        <v>2.306</v>
      </c>
      <c r="J840">
        <v>2.2800000000000002</v>
      </c>
      <c r="K840">
        <v>7.6501294357175675E-2</v>
      </c>
      <c r="L840" s="112">
        <f>VLOOKUP(A840,[3]RESUMEN!$A:$AE,31,1)</f>
        <v>-0.28426561821781682</v>
      </c>
      <c r="M840" s="113">
        <f>VLOOKUP(A840,[3]RESUMEN!$A:$AH,34,1)</f>
        <v>-0.23706092915291765</v>
      </c>
      <c r="N840" s="113">
        <f>VLOOKUP(A840,[3]RESUMEN!$A:$AI,35,1)</f>
        <v>-0.26066327368536724</v>
      </c>
    </row>
    <row r="841" spans="1:14" x14ac:dyDescent="0.25">
      <c r="A841" s="102">
        <v>43518</v>
      </c>
      <c r="B841">
        <v>39.411999999999999</v>
      </c>
      <c r="C841">
        <v>54.1</v>
      </c>
      <c r="D841">
        <v>70.144000000000005</v>
      </c>
      <c r="E841">
        <v>112.761</v>
      </c>
      <c r="F841">
        <v>2.4</v>
      </c>
      <c r="G841">
        <v>2.4089</v>
      </c>
      <c r="H841">
        <v>2.3290000000000002</v>
      </c>
      <c r="I841">
        <v>2.2730000000000001</v>
      </c>
      <c r="J841">
        <v>2.2509999999999999</v>
      </c>
      <c r="K841">
        <v>7.2968721552548965E-2</v>
      </c>
      <c r="L841" s="112">
        <f>VLOOKUP(A841,[3]RESUMEN!$A:$AE,31,1)</f>
        <v>-0.28426561821781682</v>
      </c>
      <c r="M841" s="113">
        <f>VLOOKUP(A841,[3]RESUMEN!$A:$AH,34,1)</f>
        <v>-0.23706092915291765</v>
      </c>
      <c r="N841" s="113">
        <f>VLOOKUP(A841,[3]RESUMEN!$A:$AI,35,1)</f>
        <v>-0.26066327368536724</v>
      </c>
    </row>
    <row r="842" spans="1:14" x14ac:dyDescent="0.25">
      <c r="A842" s="102">
        <v>43525</v>
      </c>
      <c r="B842">
        <v>37.515000000000001</v>
      </c>
      <c r="C842">
        <v>51.18</v>
      </c>
      <c r="D842">
        <v>66.418000000000006</v>
      </c>
      <c r="E842">
        <v>108.721</v>
      </c>
      <c r="F842">
        <v>2.4</v>
      </c>
      <c r="G842">
        <v>2.4382000000000001</v>
      </c>
      <c r="H842">
        <v>2.3934000000000002</v>
      </c>
      <c r="I842">
        <v>2.3479999999999999</v>
      </c>
      <c r="J842">
        <v>2.34</v>
      </c>
      <c r="K842">
        <v>7.045003494890667E-2</v>
      </c>
      <c r="L842" s="112">
        <f>VLOOKUP(A842,[3]RESUMEN!$A:$AE,31,1)</f>
        <v>-0.28426561821781682</v>
      </c>
      <c r="M842" s="113">
        <f>VLOOKUP(A842,[3]RESUMEN!$A:$AH,34,1)</f>
        <v>-0.23706092915291765</v>
      </c>
      <c r="N842" s="113">
        <f>VLOOKUP(A842,[3]RESUMEN!$A:$AI,35,1)</f>
        <v>-0.26066327368536724</v>
      </c>
    </row>
    <row r="843" spans="1:14" x14ac:dyDescent="0.25">
      <c r="A843" s="102">
        <v>43532</v>
      </c>
      <c r="B843">
        <v>40.915999999999997</v>
      </c>
      <c r="C843">
        <v>54.485999999999997</v>
      </c>
      <c r="D843">
        <v>69.959999999999994</v>
      </c>
      <c r="E843">
        <v>112.657</v>
      </c>
      <c r="F843">
        <v>2.4</v>
      </c>
      <c r="G843">
        <v>2.4039999999999999</v>
      </c>
      <c r="H843">
        <v>2.3243</v>
      </c>
      <c r="I843">
        <v>2.262</v>
      </c>
      <c r="J843">
        <v>2.238</v>
      </c>
      <c r="K843">
        <v>7.2901555225576509E-2</v>
      </c>
      <c r="L843" s="112">
        <f>VLOOKUP(A843,[3]RESUMEN!$A:$AE,31,1)</f>
        <v>-0.28426561821781682</v>
      </c>
      <c r="M843" s="113">
        <f>VLOOKUP(A843,[3]RESUMEN!$A:$AH,34,1)</f>
        <v>-0.23706092915291765</v>
      </c>
      <c r="N843" s="113">
        <f>VLOOKUP(A843,[3]RESUMEN!$A:$AI,35,1)</f>
        <v>-0.26066327368536724</v>
      </c>
    </row>
    <row r="844" spans="1:14" x14ac:dyDescent="0.25">
      <c r="A844" s="102">
        <v>43539</v>
      </c>
      <c r="B844">
        <v>37.247999999999998</v>
      </c>
      <c r="C844">
        <v>50.637999999999998</v>
      </c>
      <c r="D844">
        <v>65.677000000000007</v>
      </c>
      <c r="E844">
        <v>107.322</v>
      </c>
      <c r="F844">
        <v>2.4</v>
      </c>
      <c r="G844">
        <v>2.3744000000000001</v>
      </c>
      <c r="H844">
        <v>2.2800000000000002</v>
      </c>
      <c r="I844">
        <v>2.2109999999999999</v>
      </c>
      <c r="J844">
        <v>2.1859999999999999</v>
      </c>
      <c r="K844">
        <v>6.9568932545305384E-2</v>
      </c>
      <c r="L844" s="112">
        <f>VLOOKUP(A844,[3]RESUMEN!$A:$AE,31,1)</f>
        <v>-0.28426561821781682</v>
      </c>
      <c r="M844" s="113">
        <f>VLOOKUP(A844,[3]RESUMEN!$A:$AH,34,1)</f>
        <v>-0.23706092915291765</v>
      </c>
      <c r="N844" s="113">
        <f>VLOOKUP(A844,[3]RESUMEN!$A:$AI,35,1)</f>
        <v>-0.26066327368536724</v>
      </c>
    </row>
    <row r="845" spans="1:14" x14ac:dyDescent="0.25">
      <c r="A845" s="102">
        <v>43546</v>
      </c>
      <c r="B845">
        <v>39.667000000000002</v>
      </c>
      <c r="C845">
        <v>53.502000000000002</v>
      </c>
      <c r="D845">
        <v>68.95</v>
      </c>
      <c r="E845">
        <v>113.068</v>
      </c>
      <c r="F845">
        <v>2.41</v>
      </c>
      <c r="G845">
        <v>2.3159999999999998</v>
      </c>
      <c r="H845">
        <v>2.1440000000000001</v>
      </c>
      <c r="I845">
        <v>2.052</v>
      </c>
      <c r="J845">
        <v>2.036</v>
      </c>
      <c r="K845">
        <v>7.3173638604445368E-2</v>
      </c>
      <c r="L845" s="112">
        <f>VLOOKUP(A845,[3]RESUMEN!$A:$AE,31,1)</f>
        <v>-0.28426561821781682</v>
      </c>
      <c r="M845" s="113">
        <f>VLOOKUP(A845,[3]RESUMEN!$A:$AH,34,1)</f>
        <v>-0.23706092915291765</v>
      </c>
      <c r="N845" s="113">
        <f>VLOOKUP(A845,[3]RESUMEN!$A:$AI,35,1)</f>
        <v>-0.26066327368536724</v>
      </c>
    </row>
    <row r="846" spans="1:14" x14ac:dyDescent="0.25">
      <c r="A846" s="102">
        <v>43553</v>
      </c>
      <c r="B846">
        <v>37.899000000000001</v>
      </c>
      <c r="C846">
        <v>51.378</v>
      </c>
      <c r="D846">
        <v>67.018000000000001</v>
      </c>
      <c r="E846">
        <v>111.072</v>
      </c>
      <c r="F846">
        <v>2.4300000000000002</v>
      </c>
      <c r="G846">
        <v>2.2839999999999998</v>
      </c>
      <c r="H846">
        <v>2.1189999999999998</v>
      </c>
      <c r="I846">
        <v>2.0449999999999999</v>
      </c>
      <c r="J846">
        <v>2.0209999999999999</v>
      </c>
      <c r="K846">
        <v>7.2469084460628608E-2</v>
      </c>
      <c r="L846" s="112">
        <f>VLOOKUP(A846,[3]RESUMEN!$A:$AE,31,1)</f>
        <v>-0.28426561821781682</v>
      </c>
      <c r="M846" s="113">
        <f>VLOOKUP(A846,[3]RESUMEN!$A:$AH,34,1)</f>
        <v>-0.23706092915291765</v>
      </c>
      <c r="N846" s="113">
        <f>VLOOKUP(A846,[3]RESUMEN!$A:$AI,35,1)</f>
        <v>-0.26066327368536724</v>
      </c>
    </row>
    <row r="847" spans="1:14" x14ac:dyDescent="0.25">
      <c r="A847" s="102">
        <v>43560</v>
      </c>
      <c r="B847">
        <v>34.689</v>
      </c>
      <c r="C847">
        <v>47.107999999999997</v>
      </c>
      <c r="D847">
        <v>61.838999999999999</v>
      </c>
      <c r="E847">
        <v>106.09</v>
      </c>
      <c r="F847">
        <v>2.41</v>
      </c>
      <c r="G847">
        <v>2.3330000000000002</v>
      </c>
      <c r="H847">
        <v>2.1909999999999998</v>
      </c>
      <c r="I847">
        <v>2.1139999999999999</v>
      </c>
      <c r="J847">
        <v>2.089</v>
      </c>
      <c r="K847">
        <v>6.8829923684416316E-2</v>
      </c>
      <c r="L847" s="112">
        <f>VLOOKUP(A847,[3]RESUMEN!$A:$AE,31,1)</f>
        <v>-0.31359560562920519</v>
      </c>
      <c r="M847" s="113">
        <f>VLOOKUP(A847,[3]RESUMEN!$A:$AH,34,1)</f>
        <v>0.3564188905075415</v>
      </c>
      <c r="N847" s="113">
        <f>VLOOKUP(A847,[3]RESUMEN!$A:$AI,35,1)</f>
        <v>2.1411642439168155E-2</v>
      </c>
    </row>
    <row r="848" spans="1:14" x14ac:dyDescent="0.25">
      <c r="A848" s="102">
        <v>43567</v>
      </c>
      <c r="B848">
        <v>30.611000000000001</v>
      </c>
      <c r="C848">
        <v>41.96</v>
      </c>
      <c r="D848">
        <v>56.238999999999997</v>
      </c>
      <c r="E848">
        <v>99.179000000000002</v>
      </c>
      <c r="F848">
        <v>2.41</v>
      </c>
      <c r="G848">
        <v>2.3584999999999998</v>
      </c>
      <c r="H848">
        <v>2.2446999999999999</v>
      </c>
      <c r="I848">
        <v>2.177</v>
      </c>
      <c r="J848">
        <v>2.165</v>
      </c>
      <c r="K848">
        <v>6.4490969213599314E-2</v>
      </c>
      <c r="L848" s="112">
        <f>VLOOKUP(A848,[3]RESUMEN!$A:$AE,31,1)</f>
        <v>-0.31359560562920519</v>
      </c>
      <c r="M848" s="113">
        <f>VLOOKUP(A848,[3]RESUMEN!$A:$AH,34,1)</f>
        <v>0.3564188905075415</v>
      </c>
      <c r="N848" s="113">
        <f>VLOOKUP(A848,[3]RESUMEN!$A:$AI,35,1)</f>
        <v>2.1411642439168155E-2</v>
      </c>
    </row>
    <row r="849" spans="1:14" x14ac:dyDescent="0.25">
      <c r="A849" s="102">
        <v>43574</v>
      </c>
      <c r="B849">
        <v>24.811</v>
      </c>
      <c r="C849">
        <v>37.908000000000001</v>
      </c>
      <c r="D849">
        <v>51.677</v>
      </c>
      <c r="E849">
        <v>94.986999999999995</v>
      </c>
      <c r="F849">
        <v>2.44</v>
      </c>
      <c r="G849">
        <v>2.3580000000000001</v>
      </c>
      <c r="H849">
        <v>2.2309999999999999</v>
      </c>
      <c r="I849">
        <v>2.169</v>
      </c>
      <c r="J849">
        <v>2.1579999999999999</v>
      </c>
      <c r="K849">
        <v>6.1867962768827889E-2</v>
      </c>
      <c r="L849" s="112">
        <f>VLOOKUP(A849,[3]RESUMEN!$A:$AE,31,1)</f>
        <v>-0.31359560562920519</v>
      </c>
      <c r="M849" s="113">
        <f>VLOOKUP(A849,[3]RESUMEN!$A:$AH,34,1)</f>
        <v>0.3564188905075415</v>
      </c>
      <c r="N849" s="113">
        <f>VLOOKUP(A849,[3]RESUMEN!$A:$AI,35,1)</f>
        <v>2.1411642439168155E-2</v>
      </c>
    </row>
    <row r="850" spans="1:14" x14ac:dyDescent="0.25">
      <c r="A850" s="102">
        <v>43581</v>
      </c>
      <c r="B850">
        <v>30.669</v>
      </c>
      <c r="C850">
        <v>41.337000000000003</v>
      </c>
      <c r="D850">
        <v>54.228000000000002</v>
      </c>
      <c r="E850">
        <v>97.215000000000003</v>
      </c>
      <c r="F850">
        <v>2.44</v>
      </c>
      <c r="G850">
        <v>2.286</v>
      </c>
      <c r="H850">
        <v>2.1320000000000001</v>
      </c>
      <c r="I850">
        <v>2.0659999999999998</v>
      </c>
      <c r="J850">
        <v>2.0720000000000001</v>
      </c>
      <c r="K850">
        <v>6.3256061048578061E-2</v>
      </c>
      <c r="L850" s="112">
        <f>VLOOKUP(A850,[3]RESUMEN!$A:$AE,31,1)</f>
        <v>-0.31359560562920519</v>
      </c>
      <c r="M850" s="113">
        <f>VLOOKUP(A850,[3]RESUMEN!$A:$AH,34,1)</f>
        <v>0.3564188905075415</v>
      </c>
      <c r="N850" s="113">
        <f>VLOOKUP(A850,[3]RESUMEN!$A:$AI,35,1)</f>
        <v>2.1411642439168155E-2</v>
      </c>
    </row>
    <row r="851" spans="1:14" x14ac:dyDescent="0.25">
      <c r="A851" s="102">
        <v>43588</v>
      </c>
      <c r="B851">
        <v>33.655000000000001</v>
      </c>
      <c r="C851">
        <v>43.997999999999998</v>
      </c>
      <c r="D851">
        <v>56.828000000000003</v>
      </c>
      <c r="E851">
        <v>99.536000000000001</v>
      </c>
      <c r="F851">
        <v>2.4</v>
      </c>
      <c r="G851">
        <v>2.3250000000000002</v>
      </c>
      <c r="H851">
        <v>2.194</v>
      </c>
      <c r="I851">
        <v>2.1310000000000002</v>
      </c>
      <c r="J851">
        <v>2.1189999999999998</v>
      </c>
      <c r="K851">
        <v>6.4706365228705098E-2</v>
      </c>
      <c r="L851" s="112">
        <f>VLOOKUP(A851,[3]RESUMEN!$A:$AE,31,1)</f>
        <v>-0.31359560562920519</v>
      </c>
      <c r="M851" s="113">
        <f>VLOOKUP(A851,[3]RESUMEN!$A:$AH,34,1)</f>
        <v>0.3564188905075415</v>
      </c>
      <c r="N851" s="113">
        <f>VLOOKUP(A851,[3]RESUMEN!$A:$AI,35,1)</f>
        <v>2.1411642439168155E-2</v>
      </c>
    </row>
    <row r="852" spans="1:14" x14ac:dyDescent="0.25">
      <c r="A852" s="102">
        <v>43595</v>
      </c>
      <c r="B852">
        <v>39.039000000000001</v>
      </c>
      <c r="C852">
        <v>50.71</v>
      </c>
      <c r="D852">
        <v>63.905000000000001</v>
      </c>
      <c r="E852">
        <v>106.876</v>
      </c>
      <c r="F852">
        <v>2.38</v>
      </c>
      <c r="G852">
        <v>2.266</v>
      </c>
      <c r="H852">
        <v>2.1230000000000002</v>
      </c>
      <c r="I852">
        <v>2.06</v>
      </c>
      <c r="J852">
        <v>2.0569999999999999</v>
      </c>
      <c r="K852">
        <v>6.9299117463713311E-2</v>
      </c>
      <c r="L852" s="112">
        <f>VLOOKUP(A852,[3]RESUMEN!$A:$AE,31,1)</f>
        <v>-0.31359560562920519</v>
      </c>
      <c r="M852" s="113">
        <f>VLOOKUP(A852,[3]RESUMEN!$A:$AH,34,1)</f>
        <v>0.3564188905075415</v>
      </c>
      <c r="N852" s="113">
        <f>VLOOKUP(A852,[3]RESUMEN!$A:$AI,35,1)</f>
        <v>2.1411642439168155E-2</v>
      </c>
    </row>
    <row r="853" spans="1:14" x14ac:dyDescent="0.25">
      <c r="A853" s="102">
        <v>43602</v>
      </c>
      <c r="B853">
        <v>39.728999999999999</v>
      </c>
      <c r="C853">
        <v>51.747999999999998</v>
      </c>
      <c r="D853">
        <v>65.588999999999999</v>
      </c>
      <c r="E853">
        <v>108.831</v>
      </c>
      <c r="F853">
        <v>2.39</v>
      </c>
      <c r="G853">
        <v>2.2059000000000002</v>
      </c>
      <c r="H853">
        <v>2.0219999999999998</v>
      </c>
      <c r="I853">
        <v>1.9489999999999998</v>
      </c>
      <c r="J853">
        <v>1.9470000000000001</v>
      </c>
      <c r="K853">
        <v>6.9967282118876706E-2</v>
      </c>
      <c r="L853" s="112">
        <f>VLOOKUP(A853,[3]RESUMEN!$A:$AE,31,1)</f>
        <v>-0.31359560562920519</v>
      </c>
      <c r="M853" s="113">
        <f>VLOOKUP(A853,[3]RESUMEN!$A:$AH,34,1)</f>
        <v>0.3564188905075415</v>
      </c>
      <c r="N853" s="113">
        <f>VLOOKUP(A853,[3]RESUMEN!$A:$AI,35,1)</f>
        <v>2.1411642439168155E-2</v>
      </c>
    </row>
    <row r="854" spans="1:14" x14ac:dyDescent="0.25">
      <c r="A854" s="102">
        <v>43609</v>
      </c>
      <c r="B854">
        <v>44.131</v>
      </c>
      <c r="C854">
        <v>56.295999999999999</v>
      </c>
      <c r="D854">
        <v>69.87</v>
      </c>
      <c r="E854">
        <v>114.006</v>
      </c>
      <c r="F854">
        <v>2.38</v>
      </c>
      <c r="G854">
        <v>2.181</v>
      </c>
      <c r="H854">
        <v>1.968</v>
      </c>
      <c r="I854">
        <v>1.891</v>
      </c>
      <c r="J854">
        <v>1.8860000000000001</v>
      </c>
      <c r="K854">
        <v>7.3743687017438497E-2</v>
      </c>
      <c r="L854" s="112">
        <f>VLOOKUP(A854,[3]RESUMEN!$A:$AE,31,1)</f>
        <v>-0.31359560562920519</v>
      </c>
      <c r="M854" s="113">
        <f>VLOOKUP(A854,[3]RESUMEN!$A:$AH,34,1)</f>
        <v>0.3564188905075415</v>
      </c>
      <c r="N854" s="113">
        <f>VLOOKUP(A854,[3]RESUMEN!$A:$AI,35,1)</f>
        <v>2.1411642439168155E-2</v>
      </c>
    </row>
    <row r="855" spans="1:14" x14ac:dyDescent="0.25">
      <c r="A855" s="102">
        <v>43616</v>
      </c>
      <c r="B855">
        <v>45.343000000000004</v>
      </c>
      <c r="C855">
        <v>58.692</v>
      </c>
      <c r="D855">
        <v>72.814999999999998</v>
      </c>
      <c r="E855">
        <v>116.849</v>
      </c>
      <c r="F855">
        <v>2.4</v>
      </c>
      <c r="G855">
        <v>2.008</v>
      </c>
      <c r="H855">
        <v>1.7478</v>
      </c>
      <c r="I855">
        <v>1.673</v>
      </c>
      <c r="J855">
        <v>1.6850000000000001</v>
      </c>
      <c r="K855">
        <v>7.5508557068868165E-2</v>
      </c>
      <c r="L855" s="112">
        <f>VLOOKUP(A855,[3]RESUMEN!$A:$AE,31,1)</f>
        <v>-0.31359560562920519</v>
      </c>
      <c r="M855" s="113">
        <f>VLOOKUP(A855,[3]RESUMEN!$A:$AH,34,1)</f>
        <v>0.3564188905075415</v>
      </c>
      <c r="N855" s="113">
        <f>VLOOKUP(A855,[3]RESUMEN!$A:$AI,35,1)</f>
        <v>2.1411642439168155E-2</v>
      </c>
    </row>
    <row r="856" spans="1:14" x14ac:dyDescent="0.25">
      <c r="A856" s="102">
        <v>43623</v>
      </c>
      <c r="B856">
        <v>42.405000000000001</v>
      </c>
      <c r="C856">
        <v>54.503999999999998</v>
      </c>
      <c r="D856">
        <v>67.984999999999999</v>
      </c>
      <c r="E856">
        <v>111.042</v>
      </c>
      <c r="F856">
        <v>2.37</v>
      </c>
      <c r="G856">
        <v>1.865</v>
      </c>
      <c r="H856">
        <v>1.673</v>
      </c>
      <c r="I856">
        <v>1.6240000000000001</v>
      </c>
      <c r="J856">
        <v>1.643</v>
      </c>
      <c r="K856">
        <v>7.1889352357356939E-2</v>
      </c>
      <c r="L856" s="112">
        <f>VLOOKUP(A856,[3]RESUMEN!$A:$AE,31,1)</f>
        <v>-0.31359560562920519</v>
      </c>
      <c r="M856" s="113">
        <f>VLOOKUP(A856,[3]RESUMEN!$A:$AH,34,1)</f>
        <v>0.3564188905075415</v>
      </c>
      <c r="N856" s="113">
        <f>VLOOKUP(A856,[3]RESUMEN!$A:$AI,35,1)</f>
        <v>2.1411642439168155E-2</v>
      </c>
    </row>
    <row r="857" spans="1:14" x14ac:dyDescent="0.25">
      <c r="A857" s="102">
        <v>43630</v>
      </c>
      <c r="B857">
        <v>38.348999999999997</v>
      </c>
      <c r="C857">
        <v>49.651000000000003</v>
      </c>
      <c r="D857">
        <v>63.03</v>
      </c>
      <c r="E857">
        <v>107.273</v>
      </c>
      <c r="F857">
        <v>2.36</v>
      </c>
      <c r="G857">
        <v>1.8399999999999999</v>
      </c>
      <c r="H857">
        <v>1.6183000000000001</v>
      </c>
      <c r="I857">
        <v>1.554</v>
      </c>
      <c r="J857">
        <v>1.5720000000000001</v>
      </c>
      <c r="K857">
        <v>6.9559597744074275E-2</v>
      </c>
      <c r="L857" s="112">
        <f>VLOOKUP(A857,[3]RESUMEN!$A:$AE,31,1)</f>
        <v>-0.31359560562920519</v>
      </c>
      <c r="M857" s="113">
        <f>VLOOKUP(A857,[3]RESUMEN!$A:$AH,34,1)</f>
        <v>0.3564188905075415</v>
      </c>
      <c r="N857" s="113">
        <f>VLOOKUP(A857,[3]RESUMEN!$A:$AI,35,1)</f>
        <v>2.1411642439168155E-2</v>
      </c>
    </row>
    <row r="858" spans="1:14" x14ac:dyDescent="0.25">
      <c r="A858" s="102">
        <v>43637</v>
      </c>
      <c r="B858">
        <v>27.128</v>
      </c>
      <c r="C858">
        <v>36.677999999999997</v>
      </c>
      <c r="D858">
        <v>48.71</v>
      </c>
      <c r="E858">
        <v>92.400999999999996</v>
      </c>
      <c r="F858">
        <v>2.38</v>
      </c>
      <c r="G858">
        <v>1.756</v>
      </c>
      <c r="H858">
        <v>1.5514000000000001</v>
      </c>
      <c r="I858">
        <v>1.4990000000000001</v>
      </c>
      <c r="J858">
        <v>1.532</v>
      </c>
      <c r="K858">
        <v>6.0231553529857651E-2</v>
      </c>
      <c r="L858" s="112">
        <f>VLOOKUP(A858,[3]RESUMEN!$A:$AE,31,1)</f>
        <v>-0.31359560562920519</v>
      </c>
      <c r="M858" s="113">
        <f>VLOOKUP(A858,[3]RESUMEN!$A:$AH,34,1)</f>
        <v>0.3564188905075415</v>
      </c>
      <c r="N858" s="113">
        <f>VLOOKUP(A858,[3]RESUMEN!$A:$AI,35,1)</f>
        <v>2.1411642439168155E-2</v>
      </c>
    </row>
    <row r="859" spans="1:14" x14ac:dyDescent="0.25">
      <c r="A859" s="102">
        <v>43644</v>
      </c>
      <c r="B859">
        <v>27.927</v>
      </c>
      <c r="C859">
        <v>38.011000000000003</v>
      </c>
      <c r="D859">
        <v>49.758000000000003</v>
      </c>
      <c r="E859">
        <v>91.637</v>
      </c>
      <c r="F859">
        <v>2.4</v>
      </c>
      <c r="G859">
        <v>1.7669999999999999</v>
      </c>
      <c r="H859">
        <v>1.5636000000000001</v>
      </c>
      <c r="I859">
        <v>1.508</v>
      </c>
      <c r="J859">
        <v>1.5289999999999999</v>
      </c>
      <c r="K859">
        <v>6.0231553529857651E-2</v>
      </c>
      <c r="L859" s="112">
        <f>VLOOKUP(A859,[3]RESUMEN!$A:$AE,31,1)</f>
        <v>-0.31359560562920519</v>
      </c>
      <c r="M859" s="113">
        <f>VLOOKUP(A859,[3]RESUMEN!$A:$AH,34,1)</f>
        <v>0.3564188905075415</v>
      </c>
      <c r="N859" s="113">
        <f>VLOOKUP(A859,[3]RESUMEN!$A:$AI,35,1)</f>
        <v>2.1411642439168155E-2</v>
      </c>
    </row>
    <row r="860" spans="1:14" x14ac:dyDescent="0.25">
      <c r="A860" s="102">
        <v>43651</v>
      </c>
      <c r="B860">
        <v>26.248000000000001</v>
      </c>
      <c r="C860">
        <v>34.636000000000003</v>
      </c>
      <c r="D860">
        <v>47.036999999999999</v>
      </c>
      <c r="E860">
        <v>88.977000000000004</v>
      </c>
      <c r="F860">
        <v>2.42</v>
      </c>
      <c r="G860">
        <v>1.85</v>
      </c>
      <c r="H860">
        <v>1.6621000000000001</v>
      </c>
      <c r="I860">
        <v>1.5939999999999999</v>
      </c>
      <c r="J860">
        <v>1.579</v>
      </c>
      <c r="K860">
        <v>5.805729307629659E-2</v>
      </c>
      <c r="L860" s="112">
        <f>VLOOKUP(A860,[3]RESUMEN!$A:$AE,31,1)</f>
        <v>-0.24120241271379972</v>
      </c>
      <c r="M860" s="113">
        <f>VLOOKUP(A860,[3]RESUMEN!$A:$AH,34,1)</f>
        <v>0.55044923886344577</v>
      </c>
      <c r="N860" s="113">
        <f>VLOOKUP(A860,[3]RESUMEN!$A:$AI,35,1)</f>
        <v>0.15462341307482302</v>
      </c>
    </row>
    <row r="861" spans="1:14" x14ac:dyDescent="0.25">
      <c r="A861" s="102">
        <v>43658</v>
      </c>
      <c r="B861">
        <v>23.158999999999999</v>
      </c>
      <c r="C861">
        <v>30.725000000000001</v>
      </c>
      <c r="D861">
        <v>42.802</v>
      </c>
      <c r="E861">
        <v>84.74</v>
      </c>
      <c r="F861">
        <v>2.38</v>
      </c>
      <c r="G861">
        <v>1.792</v>
      </c>
      <c r="H861">
        <v>1.63</v>
      </c>
      <c r="I861">
        <v>1.591</v>
      </c>
      <c r="J861">
        <v>1.6240000000000001</v>
      </c>
      <c r="K861">
        <v>5.5378212013316275E-2</v>
      </c>
      <c r="L861" s="112">
        <f>VLOOKUP(A861,[3]RESUMEN!$A:$AE,31,1)</f>
        <v>-0.24120241271379972</v>
      </c>
      <c r="M861" s="113">
        <f>VLOOKUP(A861,[3]RESUMEN!$A:$AH,34,1)</f>
        <v>0.55044923886344577</v>
      </c>
      <c r="N861" s="113">
        <f>VLOOKUP(A861,[3]RESUMEN!$A:$AI,35,1)</f>
        <v>0.15462341307482302</v>
      </c>
    </row>
    <row r="862" spans="1:14" x14ac:dyDescent="0.25">
      <c r="A862" s="102">
        <v>43665</v>
      </c>
      <c r="B862">
        <v>20.928000000000001</v>
      </c>
      <c r="C862">
        <v>30.835999999999999</v>
      </c>
      <c r="D862">
        <v>42.825000000000003</v>
      </c>
      <c r="E862">
        <v>83.322000000000003</v>
      </c>
      <c r="F862">
        <v>2.41</v>
      </c>
      <c r="G862">
        <v>1.746</v>
      </c>
      <c r="H862">
        <v>1.5649999999999999</v>
      </c>
      <c r="I862">
        <v>1.52</v>
      </c>
      <c r="J862">
        <v>1.5369999999999999</v>
      </c>
      <c r="K862">
        <v>5.4839901459465379E-2</v>
      </c>
      <c r="L862" s="112">
        <f>VLOOKUP(A862,[3]RESUMEN!$A:$AE,31,1)</f>
        <v>-0.24120241271379972</v>
      </c>
      <c r="M862" s="113">
        <f>VLOOKUP(A862,[3]RESUMEN!$A:$AH,34,1)</f>
        <v>0.55044923886344577</v>
      </c>
      <c r="N862" s="113">
        <f>VLOOKUP(A862,[3]RESUMEN!$A:$AI,35,1)</f>
        <v>0.15462341307482302</v>
      </c>
    </row>
    <row r="863" spans="1:14" x14ac:dyDescent="0.25">
      <c r="A863" s="102">
        <v>43672</v>
      </c>
      <c r="B863">
        <v>19.872</v>
      </c>
      <c r="C863">
        <v>29.683</v>
      </c>
      <c r="D863">
        <v>42.35</v>
      </c>
      <c r="E863">
        <v>82.218000000000004</v>
      </c>
      <c r="F863">
        <v>2.4</v>
      </c>
      <c r="G863">
        <v>1.766</v>
      </c>
      <c r="H863">
        <v>1.5899999999999999</v>
      </c>
      <c r="I863">
        <v>1.54</v>
      </c>
      <c r="J863">
        <v>1.5430000000000001</v>
      </c>
      <c r="K863">
        <v>5.4306671831456321E-2</v>
      </c>
      <c r="L863" s="112">
        <f>VLOOKUP(A863,[3]RESUMEN!$A:$AE,31,1)</f>
        <v>-0.24120241271379972</v>
      </c>
      <c r="M863" s="113">
        <f>VLOOKUP(A863,[3]RESUMEN!$A:$AH,34,1)</f>
        <v>0.55044923886344577</v>
      </c>
      <c r="N863" s="113">
        <f>VLOOKUP(A863,[3]RESUMEN!$A:$AI,35,1)</f>
        <v>0.15462341307482302</v>
      </c>
    </row>
    <row r="864" spans="1:14" x14ac:dyDescent="0.25">
      <c r="A864" s="102">
        <v>43679</v>
      </c>
      <c r="B864">
        <v>31.102</v>
      </c>
      <c r="C864">
        <v>39.896000000000001</v>
      </c>
      <c r="D864">
        <v>52.415999999999997</v>
      </c>
      <c r="E864">
        <v>93.156000000000006</v>
      </c>
      <c r="F864">
        <v>2.14</v>
      </c>
      <c r="G864">
        <v>1.645</v>
      </c>
      <c r="H864">
        <v>1.444</v>
      </c>
      <c r="I864">
        <v>1.375</v>
      </c>
      <c r="J864">
        <v>1.3580000000000001</v>
      </c>
      <c r="K864">
        <v>6.0097378551132841E-2</v>
      </c>
      <c r="L864" s="112">
        <f>VLOOKUP(A864,[3]RESUMEN!$A:$AE,31,1)</f>
        <v>-0.24120241271379972</v>
      </c>
      <c r="M864" s="113">
        <f>VLOOKUP(A864,[3]RESUMEN!$A:$AH,34,1)</f>
        <v>0.55044923886344577</v>
      </c>
      <c r="N864" s="113">
        <f>VLOOKUP(A864,[3]RESUMEN!$A:$AI,35,1)</f>
        <v>0.15462341307482302</v>
      </c>
    </row>
    <row r="865" spans="1:14" x14ac:dyDescent="0.25">
      <c r="A865" s="102">
        <v>43686</v>
      </c>
      <c r="B865">
        <v>34.103999999999999</v>
      </c>
      <c r="C865">
        <v>42.966999999999999</v>
      </c>
      <c r="D865">
        <v>56.343000000000004</v>
      </c>
      <c r="E865">
        <v>96.332999999999998</v>
      </c>
      <c r="F865">
        <v>2.12</v>
      </c>
      <c r="G865">
        <v>1.548</v>
      </c>
      <c r="H865">
        <v>1.35</v>
      </c>
      <c r="I865">
        <v>1.276</v>
      </c>
      <c r="J865">
        <v>1.25</v>
      </c>
      <c r="K865">
        <v>6.266794865989489E-2</v>
      </c>
      <c r="L865" s="112">
        <f>VLOOKUP(A865,[3]RESUMEN!$A:$AE,31,1)</f>
        <v>-0.24120241271379972</v>
      </c>
      <c r="M865" s="113">
        <f>VLOOKUP(A865,[3]RESUMEN!$A:$AH,34,1)</f>
        <v>0.55044923886344577</v>
      </c>
      <c r="N865" s="113">
        <f>VLOOKUP(A865,[3]RESUMEN!$A:$AI,35,1)</f>
        <v>0.15462341307482302</v>
      </c>
    </row>
    <row r="866" spans="1:14" x14ac:dyDescent="0.25">
      <c r="A866" s="102">
        <v>43693</v>
      </c>
      <c r="B866">
        <v>36.845999999999997</v>
      </c>
      <c r="C866">
        <v>45.835999999999999</v>
      </c>
      <c r="D866">
        <v>59.381999999999998</v>
      </c>
      <c r="E866">
        <v>100.083</v>
      </c>
      <c r="F866">
        <v>2.13</v>
      </c>
      <c r="G866">
        <v>1.4321999999999999</v>
      </c>
      <c r="H866">
        <v>1.212</v>
      </c>
      <c r="I866">
        <v>1.1357999999999999</v>
      </c>
      <c r="J866">
        <v>1.101</v>
      </c>
      <c r="K866">
        <v>6.5026575940482778E-2</v>
      </c>
      <c r="L866" s="112">
        <f>VLOOKUP(A866,[3]RESUMEN!$A:$AE,31,1)</f>
        <v>-0.24120241271379972</v>
      </c>
      <c r="M866" s="113">
        <f>VLOOKUP(A866,[3]RESUMEN!$A:$AH,34,1)</f>
        <v>0.55044923886344577</v>
      </c>
      <c r="N866" s="113">
        <f>VLOOKUP(A866,[3]RESUMEN!$A:$AI,35,1)</f>
        <v>0.15462341307482302</v>
      </c>
    </row>
    <row r="867" spans="1:14" x14ac:dyDescent="0.25">
      <c r="A867" s="102">
        <v>43700</v>
      </c>
      <c r="B867">
        <v>36.597000000000001</v>
      </c>
      <c r="C867">
        <v>45.445999999999998</v>
      </c>
      <c r="D867">
        <v>58.45</v>
      </c>
      <c r="E867">
        <v>99.346999999999994</v>
      </c>
      <c r="F867">
        <v>2.12</v>
      </c>
      <c r="G867">
        <v>1.466</v>
      </c>
      <c r="H867">
        <v>1.2410000000000001</v>
      </c>
      <c r="I867">
        <v>1.155</v>
      </c>
      <c r="J867">
        <v>1.0960000000000001</v>
      </c>
      <c r="K867">
        <v>6.5026575940482778E-2</v>
      </c>
      <c r="L867" s="112">
        <f>VLOOKUP(A867,[3]RESUMEN!$A:$AE,31,1)</f>
        <v>-0.24120241271379972</v>
      </c>
      <c r="M867" s="113">
        <f>VLOOKUP(A867,[3]RESUMEN!$A:$AH,34,1)</f>
        <v>0.55044923886344577</v>
      </c>
      <c r="N867" s="113">
        <f>VLOOKUP(A867,[3]RESUMEN!$A:$AI,35,1)</f>
        <v>0.15462341307482302</v>
      </c>
    </row>
    <row r="868" spans="1:14" x14ac:dyDescent="0.25">
      <c r="A868" s="102">
        <v>43707</v>
      </c>
      <c r="B868">
        <v>34.283999999999999</v>
      </c>
      <c r="C868">
        <v>42.374000000000002</v>
      </c>
      <c r="D868">
        <v>54.712000000000003</v>
      </c>
      <c r="E868">
        <v>94.311000000000007</v>
      </c>
      <c r="F868">
        <v>2.13</v>
      </c>
      <c r="G868">
        <v>1.4765999999999999</v>
      </c>
      <c r="H868">
        <v>1.2214</v>
      </c>
      <c r="I868">
        <v>1.111</v>
      </c>
      <c r="J868">
        <v>1.042</v>
      </c>
      <c r="K868">
        <v>6.1387240361266304E-2</v>
      </c>
      <c r="L868" s="112">
        <f>VLOOKUP(A868,[3]RESUMEN!$A:$AE,31,1)</f>
        <v>-0.24120241271379972</v>
      </c>
      <c r="M868" s="113">
        <f>VLOOKUP(A868,[3]RESUMEN!$A:$AH,34,1)</f>
        <v>0.55044923886344577</v>
      </c>
      <c r="N868" s="113">
        <f>VLOOKUP(A868,[3]RESUMEN!$A:$AI,35,1)</f>
        <v>0.15462341307482302</v>
      </c>
    </row>
    <row r="869" spans="1:14" x14ac:dyDescent="0.25">
      <c r="A869" s="102">
        <v>43714</v>
      </c>
      <c r="B869">
        <v>22.491</v>
      </c>
      <c r="C869">
        <v>32.488999999999997</v>
      </c>
      <c r="D869">
        <v>43.494</v>
      </c>
      <c r="E869">
        <v>82.599000000000004</v>
      </c>
      <c r="F869">
        <v>2.12</v>
      </c>
      <c r="G869">
        <v>1.45</v>
      </c>
      <c r="H869">
        <v>1.224</v>
      </c>
      <c r="I869">
        <v>1.1320000000000001</v>
      </c>
      <c r="J869">
        <v>1.081</v>
      </c>
      <c r="K869">
        <v>5.3993263614339759E-2</v>
      </c>
      <c r="L869" s="112">
        <f>VLOOKUP(A869,[3]RESUMEN!$A:$AE,31,1)</f>
        <v>-0.24120241271379972</v>
      </c>
      <c r="M869" s="113">
        <f>VLOOKUP(A869,[3]RESUMEN!$A:$AH,34,1)</f>
        <v>0.55044923886344577</v>
      </c>
      <c r="N869" s="113">
        <f>VLOOKUP(A869,[3]RESUMEN!$A:$AI,35,1)</f>
        <v>0.15462341307482302</v>
      </c>
    </row>
    <row r="870" spans="1:14" x14ac:dyDescent="0.25">
      <c r="A870" s="102">
        <v>43721</v>
      </c>
      <c r="B870">
        <v>19.154</v>
      </c>
      <c r="C870">
        <v>29.202999999999999</v>
      </c>
      <c r="D870">
        <v>39.481000000000002</v>
      </c>
      <c r="E870">
        <v>78.656999999999996</v>
      </c>
      <c r="F870">
        <v>2.14</v>
      </c>
      <c r="G870">
        <v>1.617</v>
      </c>
      <c r="H870">
        <v>1.4798</v>
      </c>
      <c r="I870">
        <v>1.425</v>
      </c>
      <c r="J870">
        <v>1.399</v>
      </c>
      <c r="K870">
        <v>5.1490702899553042E-2</v>
      </c>
      <c r="L870" s="112">
        <f>VLOOKUP(A870,[3]RESUMEN!$A:$AE,31,1)</f>
        <v>-0.24120241271379972</v>
      </c>
      <c r="M870" s="113">
        <f>VLOOKUP(A870,[3]RESUMEN!$A:$AH,34,1)</f>
        <v>0.55044923886344577</v>
      </c>
      <c r="N870" s="113">
        <f>VLOOKUP(A870,[3]RESUMEN!$A:$AI,35,1)</f>
        <v>0.15462341307482302</v>
      </c>
    </row>
    <row r="871" spans="1:14" x14ac:dyDescent="0.25">
      <c r="A871" s="102">
        <v>43728</v>
      </c>
      <c r="B871">
        <v>27.701000000000001</v>
      </c>
      <c r="C871">
        <v>35.735999999999997</v>
      </c>
      <c r="D871">
        <v>48.749000000000002</v>
      </c>
      <c r="E871">
        <v>89.126000000000005</v>
      </c>
      <c r="F871">
        <v>1.9</v>
      </c>
      <c r="G871">
        <v>1.5629999999999999</v>
      </c>
      <c r="H871">
        <v>1.3956999999999999</v>
      </c>
      <c r="I871">
        <v>1.321</v>
      </c>
      <c r="J871">
        <v>1.28</v>
      </c>
      <c r="K871">
        <v>5.8137118276440525E-2</v>
      </c>
      <c r="L871" s="112">
        <f>VLOOKUP(A871,[3]RESUMEN!$A:$AE,31,1)</f>
        <v>-0.24120241271379972</v>
      </c>
      <c r="M871" s="113">
        <f>VLOOKUP(A871,[3]RESUMEN!$A:$AH,34,1)</f>
        <v>0.55044923886344577</v>
      </c>
      <c r="N871" s="113">
        <f>VLOOKUP(A871,[3]RESUMEN!$A:$AI,35,1)</f>
        <v>0.15462341307482302</v>
      </c>
    </row>
    <row r="872" spans="1:14" x14ac:dyDescent="0.25">
      <c r="A872" s="102">
        <v>43735</v>
      </c>
      <c r="B872">
        <v>29.292999999999999</v>
      </c>
      <c r="C872">
        <v>39.401000000000003</v>
      </c>
      <c r="D872">
        <v>52.402999999999999</v>
      </c>
      <c r="E872">
        <v>93.724000000000004</v>
      </c>
      <c r="F872">
        <v>1.83</v>
      </c>
      <c r="G872">
        <v>1.5169999999999999</v>
      </c>
      <c r="H872">
        <v>1.3599999999999999</v>
      </c>
      <c r="I872">
        <v>1.2905</v>
      </c>
      <c r="J872">
        <v>1.2589999999999999</v>
      </c>
      <c r="K872">
        <v>6.1044271356044622E-2</v>
      </c>
      <c r="L872" s="112">
        <f>VLOOKUP(A872,[3]RESUMEN!$A:$AE,31,1)</f>
        <v>-0.24120241271379972</v>
      </c>
      <c r="M872" s="113">
        <f>VLOOKUP(A872,[3]RESUMEN!$A:$AH,34,1)</f>
        <v>0.55044923886344577</v>
      </c>
      <c r="N872" s="113">
        <f>VLOOKUP(A872,[3]RESUMEN!$A:$AI,35,1)</f>
        <v>0.15462341307482302</v>
      </c>
    </row>
    <row r="873" spans="1:14" x14ac:dyDescent="0.25">
      <c r="A873" s="102">
        <v>43742</v>
      </c>
      <c r="B873">
        <v>30.373999999999999</v>
      </c>
      <c r="C873">
        <v>39.354999999999997</v>
      </c>
      <c r="D873">
        <v>51.94</v>
      </c>
      <c r="E873">
        <v>93.661000000000001</v>
      </c>
      <c r="F873">
        <v>1.8199999999999998</v>
      </c>
      <c r="G873">
        <v>1.3420000000000001</v>
      </c>
      <c r="H873">
        <v>1.1671</v>
      </c>
      <c r="I873">
        <v>1.1020000000000001</v>
      </c>
      <c r="J873">
        <v>1.077</v>
      </c>
      <c r="K873">
        <v>6.1044271356044622E-2</v>
      </c>
      <c r="L873" s="112">
        <f>VLOOKUP(A873,[3]RESUMEN!$A:$AE,31,1)</f>
        <v>-0.13531690252741585</v>
      </c>
      <c r="M873" s="113">
        <f>VLOOKUP(A873,[3]RESUMEN!$A:$AH,34,1)</f>
        <v>0.58212647826304642</v>
      </c>
      <c r="N873" s="113">
        <f>VLOOKUP(A873,[3]RESUMEN!$A:$AI,35,1)</f>
        <v>0.22340478786781529</v>
      </c>
    </row>
    <row r="874" spans="1:14" x14ac:dyDescent="0.25">
      <c r="A874" s="102">
        <v>43749</v>
      </c>
      <c r="B874">
        <v>27.744</v>
      </c>
      <c r="C874">
        <v>37.22</v>
      </c>
      <c r="D874">
        <v>49.189</v>
      </c>
      <c r="E874">
        <v>90.301000000000002</v>
      </c>
      <c r="F874">
        <v>1.8199999999999998</v>
      </c>
      <c r="G874">
        <v>1.476</v>
      </c>
      <c r="H874">
        <v>1.359</v>
      </c>
      <c r="I874">
        <v>1.3120000000000001</v>
      </c>
      <c r="J874">
        <v>1.2869999999999999</v>
      </c>
      <c r="K874">
        <v>5.8883069618216211E-2</v>
      </c>
      <c r="L874" s="112">
        <f>VLOOKUP(A874,[3]RESUMEN!$A:$AE,31,1)</f>
        <v>-0.13531690252741585</v>
      </c>
      <c r="M874" s="113">
        <f>VLOOKUP(A874,[3]RESUMEN!$A:$AH,34,1)</f>
        <v>0.58212647826304642</v>
      </c>
      <c r="N874" s="113">
        <f>VLOOKUP(A874,[3]RESUMEN!$A:$AI,35,1)</f>
        <v>0.22340478786781529</v>
      </c>
    </row>
    <row r="875" spans="1:14" x14ac:dyDescent="0.25">
      <c r="A875" s="102">
        <v>43756</v>
      </c>
      <c r="B875">
        <v>25.486000000000001</v>
      </c>
      <c r="C875">
        <v>35.222999999999999</v>
      </c>
      <c r="D875">
        <v>47.470999999999997</v>
      </c>
      <c r="E875">
        <v>86.727999999999994</v>
      </c>
      <c r="F875">
        <v>1.85</v>
      </c>
      <c r="G875">
        <v>1.4419999999999999</v>
      </c>
      <c r="H875">
        <v>1.341</v>
      </c>
      <c r="I875">
        <v>1.3069999999999999</v>
      </c>
      <c r="J875">
        <v>1.304</v>
      </c>
      <c r="K875">
        <v>5.661115973205233E-2</v>
      </c>
      <c r="L875" s="112">
        <f>VLOOKUP(A875,[3]RESUMEN!$A:$AE,31,1)</f>
        <v>-0.13531690252741585</v>
      </c>
      <c r="M875" s="113">
        <f>VLOOKUP(A875,[3]RESUMEN!$A:$AH,34,1)</f>
        <v>0.58212647826304642</v>
      </c>
      <c r="N875" s="113">
        <f>VLOOKUP(A875,[3]RESUMEN!$A:$AI,35,1)</f>
        <v>0.22340478786781529</v>
      </c>
    </row>
    <row r="876" spans="1:14" x14ac:dyDescent="0.25">
      <c r="A876" s="102">
        <v>43763</v>
      </c>
      <c r="B876">
        <v>20.837</v>
      </c>
      <c r="C876">
        <v>28.721</v>
      </c>
      <c r="D876">
        <v>41.622</v>
      </c>
      <c r="E876">
        <v>79.274000000000001</v>
      </c>
      <c r="F876">
        <v>1.83</v>
      </c>
      <c r="G876">
        <v>1.4480999999999999</v>
      </c>
      <c r="H876">
        <v>1.3616999999999999</v>
      </c>
      <c r="I876">
        <v>1.333</v>
      </c>
      <c r="J876">
        <v>1.331</v>
      </c>
      <c r="K876">
        <v>5.1870562218415794E-2</v>
      </c>
      <c r="L876" s="112">
        <f>VLOOKUP(A876,[3]RESUMEN!$A:$AE,31,1)</f>
        <v>-0.13531690252741585</v>
      </c>
      <c r="M876" s="113">
        <f>VLOOKUP(A876,[3]RESUMEN!$A:$AH,34,1)</f>
        <v>0.58212647826304642</v>
      </c>
      <c r="N876" s="113">
        <f>VLOOKUP(A876,[3]RESUMEN!$A:$AI,35,1)</f>
        <v>0.22340478786781529</v>
      </c>
    </row>
    <row r="877" spans="1:14" x14ac:dyDescent="0.25">
      <c r="A877" s="102">
        <v>43770</v>
      </c>
      <c r="B877">
        <v>21.233000000000001</v>
      </c>
      <c r="C877">
        <v>31.337</v>
      </c>
      <c r="D877">
        <v>42.393000000000001</v>
      </c>
      <c r="E877">
        <v>79.569000000000003</v>
      </c>
      <c r="F877">
        <v>1.5699999999999998</v>
      </c>
      <c r="G877">
        <v>1.4219999999999999</v>
      </c>
      <c r="H877">
        <v>1.3240000000000001</v>
      </c>
      <c r="I877">
        <v>1.282</v>
      </c>
      <c r="J877">
        <v>1.262</v>
      </c>
      <c r="K877">
        <v>5.1870562218415794E-2</v>
      </c>
      <c r="L877" s="112">
        <f>VLOOKUP(A877,[3]RESUMEN!$A:$AE,31,1)</f>
        <v>-0.13531690252741585</v>
      </c>
      <c r="M877" s="113">
        <f>VLOOKUP(A877,[3]RESUMEN!$A:$AH,34,1)</f>
        <v>0.58212647826304642</v>
      </c>
      <c r="N877" s="113">
        <f>VLOOKUP(A877,[3]RESUMEN!$A:$AI,35,1)</f>
        <v>0.22340478786781529</v>
      </c>
    </row>
    <row r="878" spans="1:14" x14ac:dyDescent="0.25">
      <c r="A878" s="102">
        <v>43777</v>
      </c>
      <c r="B878">
        <v>17.82</v>
      </c>
      <c r="C878">
        <v>27.212</v>
      </c>
      <c r="D878">
        <v>38.421999999999997</v>
      </c>
      <c r="E878">
        <v>74.888000000000005</v>
      </c>
      <c r="F878">
        <v>1.55</v>
      </c>
      <c r="G878">
        <v>1.4889999999999999</v>
      </c>
      <c r="H878">
        <v>1.444</v>
      </c>
      <c r="I878">
        <v>1.44</v>
      </c>
      <c r="J878">
        <v>1.4710000000000001</v>
      </c>
      <c r="K878">
        <v>4.9069272254403495E-2</v>
      </c>
      <c r="L878" s="112">
        <f>VLOOKUP(A878,[3]RESUMEN!$A:$AE,31,1)</f>
        <v>-0.13531690252741585</v>
      </c>
      <c r="M878" s="113">
        <f>VLOOKUP(A878,[3]RESUMEN!$A:$AH,34,1)</f>
        <v>0.58212647826304642</v>
      </c>
      <c r="N878" s="113">
        <f>VLOOKUP(A878,[3]RESUMEN!$A:$AI,35,1)</f>
        <v>0.22340478786781529</v>
      </c>
    </row>
    <row r="879" spans="1:14" x14ac:dyDescent="0.25">
      <c r="A879" s="102">
        <v>43784</v>
      </c>
      <c r="B879">
        <v>22.831</v>
      </c>
      <c r="C879">
        <v>34.1</v>
      </c>
      <c r="D879">
        <v>45.238999999999997</v>
      </c>
      <c r="E879">
        <v>82.506</v>
      </c>
      <c r="F879">
        <v>1.55</v>
      </c>
      <c r="G879">
        <v>1.4470000000000001</v>
      </c>
      <c r="H879">
        <v>1.365</v>
      </c>
      <c r="I879">
        <v>1.3460000000000001</v>
      </c>
      <c r="J879">
        <v>1.3639999999999999</v>
      </c>
      <c r="K879">
        <v>5.3914506615736491E-2</v>
      </c>
      <c r="L879" s="112">
        <f>VLOOKUP(A879,[3]RESUMEN!$A:$AE,31,1)</f>
        <v>-0.13531690252741585</v>
      </c>
      <c r="M879" s="113">
        <f>VLOOKUP(A879,[3]RESUMEN!$A:$AH,34,1)</f>
        <v>0.58212647826304642</v>
      </c>
      <c r="N879" s="113">
        <f>VLOOKUP(A879,[3]RESUMEN!$A:$AI,35,1)</f>
        <v>0.22340478786781529</v>
      </c>
    </row>
    <row r="880" spans="1:14" x14ac:dyDescent="0.25">
      <c r="A880" s="102">
        <v>43791</v>
      </c>
      <c r="B880">
        <v>27.457000000000001</v>
      </c>
      <c r="C880">
        <v>38.795999999999999</v>
      </c>
      <c r="D880">
        <v>50.817999999999998</v>
      </c>
      <c r="E880">
        <v>88.477999999999994</v>
      </c>
      <c r="F880">
        <v>1.55</v>
      </c>
      <c r="G880">
        <v>1.4379999999999999</v>
      </c>
      <c r="H880">
        <v>1.3380000000000001</v>
      </c>
      <c r="I880">
        <v>1.3069999999999999</v>
      </c>
      <c r="J880">
        <v>1.3049999999999999</v>
      </c>
      <c r="K880">
        <v>5.7704390822710616E-2</v>
      </c>
      <c r="L880" s="112">
        <f>VLOOKUP(A880,[3]RESUMEN!$A:$AE,31,1)</f>
        <v>-0.13531690252741585</v>
      </c>
      <c r="M880" s="113">
        <f>VLOOKUP(A880,[3]RESUMEN!$A:$AH,34,1)</f>
        <v>0.58212647826304642</v>
      </c>
      <c r="N880" s="113">
        <f>VLOOKUP(A880,[3]RESUMEN!$A:$AI,35,1)</f>
        <v>0.22340478786781529</v>
      </c>
    </row>
    <row r="881" spans="1:14" x14ac:dyDescent="0.25">
      <c r="A881" s="102">
        <v>43798</v>
      </c>
      <c r="B881">
        <v>27.724</v>
      </c>
      <c r="C881">
        <v>39.454000000000001</v>
      </c>
      <c r="D881">
        <v>51.77</v>
      </c>
      <c r="E881">
        <v>90.119</v>
      </c>
      <c r="F881">
        <v>1.56</v>
      </c>
      <c r="G881">
        <v>1.4565999999999999</v>
      </c>
      <c r="H881">
        <v>1.3528</v>
      </c>
      <c r="I881">
        <v>1.3180000000000001</v>
      </c>
      <c r="J881">
        <v>1.3439999999999999</v>
      </c>
      <c r="K881">
        <v>5.8264289527297897E-2</v>
      </c>
      <c r="L881" s="112">
        <f>VLOOKUP(A881,[3]RESUMEN!$A:$AE,31,1)</f>
        <v>-0.13531690252741585</v>
      </c>
      <c r="M881" s="113">
        <f>VLOOKUP(A881,[3]RESUMEN!$A:$AH,34,1)</f>
        <v>0.58212647826304642</v>
      </c>
      <c r="N881" s="113">
        <f>VLOOKUP(A881,[3]RESUMEN!$A:$AI,35,1)</f>
        <v>0.22340478786781529</v>
      </c>
    </row>
    <row r="882" spans="1:14" x14ac:dyDescent="0.25">
      <c r="A882" s="102">
        <v>43805</v>
      </c>
      <c r="B882">
        <v>22.355</v>
      </c>
      <c r="C882">
        <v>33.648000000000003</v>
      </c>
      <c r="D882">
        <v>45.298999999999999</v>
      </c>
      <c r="E882">
        <v>82.218000000000004</v>
      </c>
      <c r="F882">
        <v>1.55</v>
      </c>
      <c r="G882">
        <v>1.4610000000000001</v>
      </c>
      <c r="H882">
        <v>1.381</v>
      </c>
      <c r="I882">
        <v>1.369</v>
      </c>
      <c r="J882">
        <v>1.393</v>
      </c>
      <c r="K882">
        <v>5.3726893266348164E-2</v>
      </c>
      <c r="L882" s="112">
        <f>VLOOKUP(A882,[3]RESUMEN!$A:$AE,31,1)</f>
        <v>-0.13531690252741585</v>
      </c>
      <c r="M882" s="113">
        <f>VLOOKUP(A882,[3]RESUMEN!$A:$AH,34,1)</f>
        <v>0.58212647826304642</v>
      </c>
      <c r="N882" s="113">
        <f>VLOOKUP(A882,[3]RESUMEN!$A:$AI,35,1)</f>
        <v>0.22340478786781529</v>
      </c>
    </row>
    <row r="883" spans="1:14" x14ac:dyDescent="0.25">
      <c r="A883" s="102">
        <v>43812</v>
      </c>
      <c r="B883">
        <v>17.634</v>
      </c>
      <c r="C883">
        <v>27.056000000000001</v>
      </c>
      <c r="D883">
        <v>37.283999999999999</v>
      </c>
      <c r="E883">
        <v>72.927000000000007</v>
      </c>
      <c r="F883">
        <v>1.55</v>
      </c>
      <c r="G883">
        <v>1.476</v>
      </c>
      <c r="H883">
        <v>1.387</v>
      </c>
      <c r="I883">
        <v>1.369</v>
      </c>
      <c r="J883">
        <v>1.387</v>
      </c>
      <c r="K883">
        <v>4.7961124276696854E-2</v>
      </c>
      <c r="L883" s="112">
        <f>VLOOKUP(A883,[3]RESUMEN!$A:$AE,31,1)</f>
        <v>-0.13531690252741585</v>
      </c>
      <c r="M883" s="113">
        <f>VLOOKUP(A883,[3]RESUMEN!$A:$AH,34,1)</f>
        <v>0.58212647826304642</v>
      </c>
      <c r="N883" s="113">
        <f>VLOOKUP(A883,[3]RESUMEN!$A:$AI,35,1)</f>
        <v>0.22340478786781529</v>
      </c>
    </row>
    <row r="884" spans="1:14" x14ac:dyDescent="0.25">
      <c r="A884" s="102">
        <v>43819</v>
      </c>
      <c r="B884">
        <v>18.966000000000001</v>
      </c>
      <c r="C884">
        <v>27.632000000000001</v>
      </c>
      <c r="D884">
        <v>37.886000000000003</v>
      </c>
      <c r="E884">
        <v>74.424999999999997</v>
      </c>
      <c r="F884">
        <v>1.55</v>
      </c>
      <c r="G884">
        <v>1.5087000000000002</v>
      </c>
      <c r="H884">
        <v>1.448</v>
      </c>
      <c r="I884">
        <v>1.4470000000000001</v>
      </c>
      <c r="J884">
        <v>1.488</v>
      </c>
      <c r="K884">
        <v>4.8428930787800306E-2</v>
      </c>
      <c r="L884" s="112">
        <f>VLOOKUP(A884,[3]RESUMEN!$A:$AE,31,1)</f>
        <v>-0.13531690252741585</v>
      </c>
      <c r="M884" s="113">
        <f>VLOOKUP(A884,[3]RESUMEN!$A:$AH,34,1)</f>
        <v>0.58212647826304642</v>
      </c>
      <c r="N884" s="113">
        <f>VLOOKUP(A884,[3]RESUMEN!$A:$AI,35,1)</f>
        <v>0.22340478786781529</v>
      </c>
    </row>
    <row r="885" spans="1:14" x14ac:dyDescent="0.25">
      <c r="A885" s="102">
        <v>43826</v>
      </c>
      <c r="B885">
        <v>20.951999999999998</v>
      </c>
      <c r="C885">
        <v>29.625</v>
      </c>
      <c r="D885">
        <v>37.456000000000003</v>
      </c>
      <c r="E885">
        <v>72.974999999999994</v>
      </c>
      <c r="F885">
        <v>1.55</v>
      </c>
      <c r="G885">
        <v>1.5030000000000001</v>
      </c>
      <c r="H885">
        <v>1.431</v>
      </c>
      <c r="I885">
        <v>1.4165000000000001</v>
      </c>
      <c r="J885">
        <v>1.4530000000000001</v>
      </c>
      <c r="K885">
        <v>4.8428930787800306E-2</v>
      </c>
      <c r="L885" s="112">
        <f>VLOOKUP(A885,[3]RESUMEN!$A:$AE,31,1)</f>
        <v>-0.13531690252741585</v>
      </c>
      <c r="M885" s="113">
        <f>VLOOKUP(A885,[3]RESUMEN!$A:$AH,34,1)</f>
        <v>0.58212647826304642</v>
      </c>
      <c r="N885" s="113">
        <f>VLOOKUP(A885,[3]RESUMEN!$A:$AI,35,1)</f>
        <v>0.22340478786781529</v>
      </c>
    </row>
    <row r="886" spans="1:14" x14ac:dyDescent="0.25">
      <c r="A886" s="102">
        <v>43833</v>
      </c>
      <c r="B886">
        <v>17.702999999999999</v>
      </c>
      <c r="C886">
        <v>26.103999999999999</v>
      </c>
      <c r="D886">
        <v>36.351999999999997</v>
      </c>
      <c r="E886">
        <v>70.563999999999993</v>
      </c>
      <c r="F886">
        <v>1.55</v>
      </c>
      <c r="G886">
        <v>1.4775</v>
      </c>
      <c r="H886">
        <v>1.3787</v>
      </c>
      <c r="I886">
        <v>1.3519999999999999</v>
      </c>
      <c r="J886">
        <v>1.375</v>
      </c>
      <c r="K886">
        <v>4.628415889148374E-2</v>
      </c>
      <c r="L886" s="112">
        <f>VLOOKUP(A886,[3]RESUMEN!$A:$AE,31,1)</f>
        <v>-3.58005173071754E-2</v>
      </c>
      <c r="M886" s="113">
        <f>VLOOKUP(A886,[3]RESUMEN!$A:$AH,34,1)</f>
        <v>1.0374954037962441</v>
      </c>
      <c r="N886" s="113">
        <f>VLOOKUP(A886,[3]RESUMEN!$A:$AI,35,1)</f>
        <v>0.50084744324453434</v>
      </c>
    </row>
    <row r="887" spans="1:14" x14ac:dyDescent="0.25">
      <c r="A887" s="102">
        <v>43840</v>
      </c>
      <c r="B887">
        <v>15.394</v>
      </c>
      <c r="C887">
        <v>24.523</v>
      </c>
      <c r="D887">
        <v>34.271999999999998</v>
      </c>
      <c r="E887">
        <v>69.001999999999995</v>
      </c>
      <c r="F887">
        <v>1.54</v>
      </c>
      <c r="G887">
        <v>1.4902</v>
      </c>
      <c r="H887">
        <v>1.405</v>
      </c>
      <c r="I887">
        <v>1.3835</v>
      </c>
      <c r="J887">
        <v>1.4020000000000001</v>
      </c>
      <c r="K887">
        <v>4.583209049688286E-2</v>
      </c>
      <c r="L887" s="112">
        <f>VLOOKUP(A887,[3]RESUMEN!$A:$AE,31,1)</f>
        <v>-3.58005173071754E-2</v>
      </c>
      <c r="M887" s="113">
        <f>VLOOKUP(A887,[3]RESUMEN!$A:$AH,34,1)</f>
        <v>1.0374954037962441</v>
      </c>
      <c r="N887" s="113">
        <f>VLOOKUP(A887,[3]RESUMEN!$A:$AI,35,1)</f>
        <v>0.50084744324453434</v>
      </c>
    </row>
    <row r="888" spans="1:14" x14ac:dyDescent="0.25">
      <c r="A888" s="102">
        <v>43847</v>
      </c>
      <c r="B888">
        <v>17.73</v>
      </c>
      <c r="C888">
        <v>27.373999999999999</v>
      </c>
      <c r="D888">
        <v>37.078000000000003</v>
      </c>
      <c r="E888">
        <v>72.664000000000001</v>
      </c>
      <c r="F888">
        <v>1.55</v>
      </c>
      <c r="G888">
        <v>1.5049999999999999</v>
      </c>
      <c r="H888">
        <v>1.419</v>
      </c>
      <c r="I888">
        <v>1.395</v>
      </c>
      <c r="J888">
        <v>1.4123000000000001</v>
      </c>
      <c r="K888">
        <v>4.7643308980791166E-2</v>
      </c>
      <c r="L888" s="112">
        <f>VLOOKUP(A888,[3]RESUMEN!$A:$AE,31,1)</f>
        <v>-3.58005173071754E-2</v>
      </c>
      <c r="M888" s="113">
        <f>VLOOKUP(A888,[3]RESUMEN!$A:$AH,34,1)</f>
        <v>1.0374954037962441</v>
      </c>
      <c r="N888" s="113">
        <f>VLOOKUP(A888,[3]RESUMEN!$A:$AI,35,1)</f>
        <v>0.50084744324453434</v>
      </c>
    </row>
    <row r="889" spans="1:14" x14ac:dyDescent="0.25">
      <c r="A889" s="102">
        <v>43854</v>
      </c>
      <c r="B889">
        <v>22.661999999999999</v>
      </c>
      <c r="C889">
        <v>33.329000000000001</v>
      </c>
      <c r="D889">
        <v>44.156999999999996</v>
      </c>
      <c r="E889">
        <v>81.075999999999993</v>
      </c>
      <c r="F889">
        <v>1.55</v>
      </c>
      <c r="G889">
        <v>1.4630000000000001</v>
      </c>
      <c r="H889">
        <v>1.3422000000000001</v>
      </c>
      <c r="I889">
        <v>1.2969999999999999</v>
      </c>
      <c r="J889">
        <v>1.2909999999999999</v>
      </c>
      <c r="K889">
        <v>5.2743492485641696E-2</v>
      </c>
      <c r="L889" s="112">
        <f>VLOOKUP(A889,[3]RESUMEN!$A:$AE,31,1)</f>
        <v>-3.58005173071754E-2</v>
      </c>
      <c r="M889" s="113">
        <f>VLOOKUP(A889,[3]RESUMEN!$A:$AH,34,1)</f>
        <v>1.0374954037962441</v>
      </c>
      <c r="N889" s="113">
        <f>VLOOKUP(A889,[3]RESUMEN!$A:$AI,35,1)</f>
        <v>0.50084744324453434</v>
      </c>
    </row>
    <row r="890" spans="1:14" x14ac:dyDescent="0.25">
      <c r="A890" s="102">
        <v>43861</v>
      </c>
      <c r="B890">
        <v>21.890999999999998</v>
      </c>
      <c r="C890">
        <v>32.156999999999996</v>
      </c>
      <c r="D890">
        <v>43.386000000000003</v>
      </c>
      <c r="E890">
        <v>80.350999999999999</v>
      </c>
      <c r="F890">
        <v>1.5899999999999999</v>
      </c>
      <c r="G890">
        <v>1.333</v>
      </c>
      <c r="H890">
        <v>1.1712</v>
      </c>
      <c r="I890">
        <v>1.1140000000000001</v>
      </c>
      <c r="J890">
        <v>1.105</v>
      </c>
      <c r="K890">
        <v>5.2743492485641696E-2</v>
      </c>
      <c r="L890" s="112">
        <f>VLOOKUP(A890,[3]RESUMEN!$A:$AE,31,1)</f>
        <v>-3.58005173071754E-2</v>
      </c>
      <c r="M890" s="113">
        <f>VLOOKUP(A890,[3]RESUMEN!$A:$AH,34,1)</f>
        <v>1.0374954037962441</v>
      </c>
      <c r="N890" s="113">
        <f>VLOOKUP(A890,[3]RESUMEN!$A:$AI,35,1)</f>
        <v>0.50084744324453434</v>
      </c>
    </row>
    <row r="891" spans="1:14" x14ac:dyDescent="0.25">
      <c r="A891" s="102">
        <v>43868</v>
      </c>
      <c r="B891">
        <v>18.62</v>
      </c>
      <c r="C891">
        <v>28.439</v>
      </c>
      <c r="D891">
        <v>39.192999999999998</v>
      </c>
      <c r="E891">
        <v>74.664000000000001</v>
      </c>
      <c r="F891">
        <v>1.58</v>
      </c>
      <c r="G891">
        <v>1.4159999999999999</v>
      </c>
      <c r="H891">
        <v>1.2755000000000001</v>
      </c>
      <c r="I891">
        <v>1.2258</v>
      </c>
      <c r="J891">
        <v>1.222</v>
      </c>
      <c r="K891">
        <v>4.8913849944719701E-2</v>
      </c>
      <c r="L891" s="112">
        <f>VLOOKUP(A891,[3]RESUMEN!$A:$AE,31,1)</f>
        <v>-3.58005173071754E-2</v>
      </c>
      <c r="M891" s="113">
        <f>VLOOKUP(A891,[3]RESUMEN!$A:$AH,34,1)</f>
        <v>1.0374954037962441</v>
      </c>
      <c r="N891" s="113">
        <f>VLOOKUP(A891,[3]RESUMEN!$A:$AI,35,1)</f>
        <v>0.50084744324453434</v>
      </c>
    </row>
    <row r="892" spans="1:14" x14ac:dyDescent="0.25">
      <c r="A892" s="102">
        <v>43875</v>
      </c>
      <c r="B892">
        <v>18.559999999999999</v>
      </c>
      <c r="C892">
        <v>26.509</v>
      </c>
      <c r="D892">
        <v>36.920999999999999</v>
      </c>
      <c r="E892">
        <v>71.078000000000003</v>
      </c>
      <c r="F892">
        <v>1.58</v>
      </c>
      <c r="G892">
        <v>1.4039999999999999</v>
      </c>
      <c r="H892">
        <v>1.2726</v>
      </c>
      <c r="I892">
        <v>1.2237</v>
      </c>
      <c r="J892">
        <v>1.216</v>
      </c>
      <c r="K892">
        <v>4.6618297068375392E-2</v>
      </c>
      <c r="L892" s="112">
        <f>VLOOKUP(A892,[3]RESUMEN!$A:$AE,31,1)</f>
        <v>-3.58005173071754E-2</v>
      </c>
      <c r="M892" s="113">
        <f>VLOOKUP(A892,[3]RESUMEN!$A:$AH,34,1)</f>
        <v>1.0374954037962441</v>
      </c>
      <c r="N892" s="113">
        <f>VLOOKUP(A892,[3]RESUMEN!$A:$AI,35,1)</f>
        <v>0.50084744324453434</v>
      </c>
    </row>
    <row r="893" spans="1:14" x14ac:dyDescent="0.25">
      <c r="A893" s="102">
        <v>43882</v>
      </c>
      <c r="B893">
        <v>16.146999999999998</v>
      </c>
      <c r="C893">
        <v>25.353000000000002</v>
      </c>
      <c r="D893">
        <v>35.734999999999999</v>
      </c>
      <c r="E893">
        <v>69.405000000000001</v>
      </c>
      <c r="F893">
        <v>1.58</v>
      </c>
      <c r="G893">
        <v>1.3380000000000001</v>
      </c>
      <c r="H893">
        <v>1.1815</v>
      </c>
      <c r="I893">
        <v>1.1259000000000001</v>
      </c>
      <c r="J893">
        <v>1.109</v>
      </c>
      <c r="K893">
        <v>4.6163044671967302E-2</v>
      </c>
      <c r="L893" s="112">
        <f>VLOOKUP(A893,[3]RESUMEN!$A:$AE,31,1)</f>
        <v>-3.58005173071754E-2</v>
      </c>
      <c r="M893" s="113">
        <f>VLOOKUP(A893,[3]RESUMEN!$A:$AH,34,1)</f>
        <v>1.0374954037962441</v>
      </c>
      <c r="N893" s="113">
        <f>VLOOKUP(A893,[3]RESUMEN!$A:$AI,35,1)</f>
        <v>0.50084744324453434</v>
      </c>
    </row>
    <row r="894" spans="1:14" x14ac:dyDescent="0.25">
      <c r="A894" s="102">
        <v>43889</v>
      </c>
      <c r="B894">
        <v>33.128</v>
      </c>
      <c r="C894">
        <v>46.423999999999999</v>
      </c>
      <c r="D894">
        <v>60.036000000000001</v>
      </c>
      <c r="E894">
        <v>103.34</v>
      </c>
      <c r="F894">
        <v>1.58</v>
      </c>
      <c r="G894">
        <v>0.90100000000000002</v>
      </c>
      <c r="H894">
        <v>0.75</v>
      </c>
      <c r="I894">
        <v>0.72340000000000004</v>
      </c>
      <c r="J894">
        <v>0.754</v>
      </c>
      <c r="K894">
        <v>6.7078847568952438E-2</v>
      </c>
      <c r="L894" s="112">
        <f>VLOOKUP(A894,[3]RESUMEN!$A:$AE,31,1)</f>
        <v>-3.58005173071754E-2</v>
      </c>
      <c r="M894" s="113">
        <f>VLOOKUP(A894,[3]RESUMEN!$A:$AH,34,1)</f>
        <v>1.0374954037962441</v>
      </c>
      <c r="N894" s="113">
        <f>VLOOKUP(A894,[3]RESUMEN!$A:$AI,35,1)</f>
        <v>0.50084744324453434</v>
      </c>
    </row>
    <row r="895" spans="1:14" x14ac:dyDescent="0.25">
      <c r="A895" s="102">
        <v>43896</v>
      </c>
      <c r="B895">
        <v>35.320999999999998</v>
      </c>
      <c r="C895">
        <v>49.37</v>
      </c>
      <c r="D895">
        <v>66.266000000000005</v>
      </c>
      <c r="E895">
        <v>113.687</v>
      </c>
      <c r="F895">
        <v>1.0900000000000001</v>
      </c>
      <c r="G895">
        <v>0.32700000000000001</v>
      </c>
      <c r="H895">
        <v>0.33500000000000002</v>
      </c>
      <c r="I895">
        <v>0.3705</v>
      </c>
      <c r="J895">
        <v>0.46700000000000003</v>
      </c>
      <c r="K895">
        <v>7.3602843312652433E-2</v>
      </c>
      <c r="L895" s="112">
        <f>VLOOKUP(A895,[3]RESUMEN!$A:$AE,31,1)</f>
        <v>-3.58005173071754E-2</v>
      </c>
      <c r="M895" s="113">
        <f>VLOOKUP(A895,[3]RESUMEN!$A:$AH,34,1)</f>
        <v>1.0374954037962441</v>
      </c>
      <c r="N895" s="113">
        <f>VLOOKUP(A895,[3]RESUMEN!$A:$AI,35,1)</f>
        <v>0.50084744324453434</v>
      </c>
    </row>
    <row r="896" spans="1:14" x14ac:dyDescent="0.25">
      <c r="A896" s="102">
        <v>43903</v>
      </c>
      <c r="B896">
        <v>102.40900000000001</v>
      </c>
      <c r="C896">
        <v>127.407</v>
      </c>
      <c r="D896">
        <v>175.81899999999999</v>
      </c>
      <c r="E896">
        <v>214.959</v>
      </c>
      <c r="F896">
        <v>1.1000000000000001</v>
      </c>
      <c r="G896">
        <v>0.13</v>
      </c>
      <c r="H896">
        <v>0.19600000000000001</v>
      </c>
      <c r="I896">
        <v>0.30199999999999999</v>
      </c>
      <c r="J896">
        <v>0.496</v>
      </c>
      <c r="K896">
        <v>0.13431350138421516</v>
      </c>
      <c r="L896" s="112">
        <f>VLOOKUP(A896,[3]RESUMEN!$A:$AE,31,1)</f>
        <v>-3.58005173071754E-2</v>
      </c>
      <c r="M896" s="113">
        <f>VLOOKUP(A896,[3]RESUMEN!$A:$AH,34,1)</f>
        <v>1.0374954037962441</v>
      </c>
      <c r="N896" s="113">
        <f>VLOOKUP(A896,[3]RESUMEN!$A:$AI,35,1)</f>
        <v>0.50084744324453434</v>
      </c>
    </row>
    <row r="897" spans="1:14" x14ac:dyDescent="0.25">
      <c r="A897" s="102">
        <v>43910</v>
      </c>
      <c r="B897">
        <v>159.04</v>
      </c>
      <c r="C897">
        <v>200.37700000000001</v>
      </c>
      <c r="D897">
        <v>253.52099999999999</v>
      </c>
      <c r="E897">
        <v>318.95699999999999</v>
      </c>
      <c r="F897">
        <v>0.2</v>
      </c>
      <c r="G897">
        <v>0.104</v>
      </c>
      <c r="H897">
        <v>0.13100000000000001</v>
      </c>
      <c r="I897">
        <v>0.18099999999999999</v>
      </c>
      <c r="J897">
        <v>0.28499999999999998</v>
      </c>
      <c r="K897">
        <v>0.19305111775719086</v>
      </c>
      <c r="L897" s="112">
        <f>VLOOKUP(A897,[3]RESUMEN!$A:$AE,31,1)</f>
        <v>-0.25949679598000897</v>
      </c>
      <c r="M897" s="113">
        <f>VLOOKUP(A897,[3]RESUMEN!$A:$AH,34,1)</f>
        <v>-1.3758591704024528</v>
      </c>
      <c r="N897" s="113">
        <f>VLOOKUP(A897,[3]RESUMEN!$A:$AI,35,1)</f>
        <v>-0.81767798319123086</v>
      </c>
    </row>
    <row r="898" spans="1:14" x14ac:dyDescent="0.25">
      <c r="A898" s="102">
        <v>44009</v>
      </c>
      <c r="B898">
        <v>95.5</v>
      </c>
      <c r="C898">
        <v>123.8</v>
      </c>
      <c r="D898">
        <v>161.30000000000001</v>
      </c>
      <c r="E898">
        <v>235.9</v>
      </c>
      <c r="F898">
        <v>0.2</v>
      </c>
      <c r="G898">
        <v>0.104</v>
      </c>
      <c r="H898">
        <v>0.13100000000000001</v>
      </c>
      <c r="I898">
        <v>0.18099999999999999</v>
      </c>
      <c r="J898">
        <v>0.28499999999999998</v>
      </c>
      <c r="K898">
        <v>0.14683039686185451</v>
      </c>
      <c r="L898" s="112">
        <f>VLOOKUP(A898,[3]RESUMEN!$A:$AE,31,1)</f>
        <v>-0.25949679598000897</v>
      </c>
      <c r="M898" s="113">
        <f>VLOOKUP(A898,[3]RESUMEN!$A:$AH,34,1)</f>
        <v>-1.3758591704024528</v>
      </c>
      <c r="N898" s="113">
        <f>VLOOKUP(A898,[3]RESUMEN!$A:$AI,35,1)</f>
        <v>-0.81767798319123086</v>
      </c>
    </row>
    <row r="899" spans="1:14" x14ac:dyDescent="0.25">
      <c r="A899" s="102"/>
    </row>
    <row r="900" spans="1:14" x14ac:dyDescent="0.25">
      <c r="A900" s="102"/>
    </row>
    <row r="901" spans="1:14" x14ac:dyDescent="0.25">
      <c r="A901" s="102"/>
      <c r="B901" s="115"/>
    </row>
    <row r="902" spans="1:14" x14ac:dyDescent="0.25">
      <c r="A902" s="102"/>
      <c r="B902" s="115"/>
    </row>
    <row r="903" spans="1:14" x14ac:dyDescent="0.25">
      <c r="A903" s="102"/>
      <c r="B903" s="115"/>
    </row>
    <row r="904" spans="1:14" x14ac:dyDescent="0.25">
      <c r="A904" s="102"/>
      <c r="B904" s="115"/>
    </row>
    <row r="905" spans="1:14" x14ac:dyDescent="0.25">
      <c r="A905" s="102"/>
    </row>
    <row r="906" spans="1:14" x14ac:dyDescent="0.25">
      <c r="A906" s="102"/>
    </row>
    <row r="907" spans="1:14" x14ac:dyDescent="0.25">
      <c r="A907" s="102"/>
    </row>
    <row r="908" spans="1:14" x14ac:dyDescent="0.25">
      <c r="A908" s="102"/>
    </row>
    <row r="909" spans="1:14" x14ac:dyDescent="0.25">
      <c r="A909" s="102"/>
    </row>
    <row r="910" spans="1:14" x14ac:dyDescent="0.25">
      <c r="A910" s="10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40</vt:i4>
      </vt:variant>
    </vt:vector>
  </HeadingPairs>
  <TitlesOfParts>
    <vt:vector size="44" baseType="lpstr">
      <vt:lpstr>DATOS</vt:lpstr>
      <vt:lpstr>CDS USD</vt:lpstr>
      <vt:lpstr>Curva OIS USD</vt:lpstr>
      <vt:lpstr>HISTORIA</vt:lpstr>
      <vt:lpstr>As_of_date</vt:lpstr>
      <vt:lpstr>'CDS USD'!CFLOW1</vt:lpstr>
      <vt:lpstr>'Curva OIS USD'!CFLOW1</vt:lpstr>
      <vt:lpstr>'Curva OIS USD'!CFLOW11</vt:lpstr>
      <vt:lpstr>'CDS USD'!CFLOW2</vt:lpstr>
      <vt:lpstr>'Curva OIS USD'!CFLOW2</vt:lpstr>
      <vt:lpstr>'CDS USD'!CFLOW3</vt:lpstr>
      <vt:lpstr>'CDS USD'!CFLOW4</vt:lpstr>
      <vt:lpstr>'Curva OIS USD'!CFLOW8</vt:lpstr>
      <vt:lpstr>'Curva OIS USD'!CFLOW9</vt:lpstr>
      <vt:lpstr>coupon1_OISUSD</vt:lpstr>
      <vt:lpstr>coupon11_OISUSD</vt:lpstr>
      <vt:lpstr>coupon6_OISUSD</vt:lpstr>
      <vt:lpstr>coupon8_OISUSD</vt:lpstr>
      <vt:lpstr>coupon9_OISUSD</vt:lpstr>
      <vt:lpstr>'CDS USD'!date</vt:lpstr>
      <vt:lpstr>'Curva OIS USD'!date</vt:lpstr>
      <vt:lpstr>'CDS USD'!DF</vt:lpstr>
      <vt:lpstr>'Curva OIS USD'!DF</vt:lpstr>
      <vt:lpstr>'CDS USD'!DI</vt:lpstr>
      <vt:lpstr>'CDS USD'!Intensity1</vt:lpstr>
      <vt:lpstr>'CDS USD'!Intensity2</vt:lpstr>
      <vt:lpstr>'CDS USD'!Intensity3</vt:lpstr>
      <vt:lpstr>'CDS USD'!Intensity4</vt:lpstr>
      <vt:lpstr>mat_1</vt:lpstr>
      <vt:lpstr>'Curva OIS USD'!mat_11</vt:lpstr>
      <vt:lpstr>mat_6</vt:lpstr>
      <vt:lpstr>mat_8</vt:lpstr>
      <vt:lpstr>mat_9</vt:lpstr>
      <vt:lpstr>'Curva OIS USD'!rate1</vt:lpstr>
      <vt:lpstr>'Curva OIS USD'!rate10</vt:lpstr>
      <vt:lpstr>'Curva OIS USD'!rate11</vt:lpstr>
      <vt:lpstr>'Curva OIS USD'!rate8</vt:lpstr>
      <vt:lpstr>'Curva OIS USD'!rate9</vt:lpstr>
      <vt:lpstr>'Curva OIS USD'!time</vt:lpstr>
      <vt:lpstr>'Curva OIS USD'!time10</vt:lpstr>
      <vt:lpstr>'Curva OIS USD'!time11</vt:lpstr>
      <vt:lpstr>'Curva OIS USD'!time8</vt:lpstr>
      <vt:lpstr>'Curva OIS USD'!time9</vt:lpstr>
      <vt:lpstr>'CDS USD'!timeCDS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</dc:creator>
  <cp:lastModifiedBy>Andres Felipe Gomez Hernandez</cp:lastModifiedBy>
  <dcterms:created xsi:type="dcterms:W3CDTF">2020-03-17T12:17:37Z</dcterms:created>
  <dcterms:modified xsi:type="dcterms:W3CDTF">2020-06-04T18:35:58Z</dcterms:modified>
</cp:coreProperties>
</file>